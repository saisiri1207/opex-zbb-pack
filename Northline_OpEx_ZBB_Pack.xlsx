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Assumptions" sheetId="2" state="visible" r:id="rId2"/>
    <sheet name="02_Cost_Centers" sheetId="3" state="visible" r:id="rId3"/>
    <sheet name="03_Decision_Packages" sheetId="4" state="visible" r:id="rId4"/>
    <sheet name="04_Savings_Bridge" sheetId="5" state="visible" r:id="rId5"/>
    <sheet name="05_Dashboard" sheetId="6" state="visible" r:id="rId6"/>
    <sheet name="06_Data_Dictionary" sheetId="7" state="visible" r:id="rId7"/>
  </sheets>
  <definedNames/>
  <calcPr calcId="124519" fullCalcOnLoad="1"/>
</workbook>
</file>

<file path=xl/styles.xml><?xml version="1.0" encoding="utf-8"?>
<styleSheet xmlns="http://schemas.openxmlformats.org/spreadsheetml/2006/main">
  <numFmts count="2">
    <numFmt numFmtId="164" formatCode="_($* #,##0_);_($* (#,##0);_($* &quot;-&quot;??_);_(@_)"/>
    <numFmt numFmtId="165" formatCode="0.0%"/>
  </numFmts>
  <fonts count="14">
    <font>
      <name val="Calibri"/>
      <family val="2"/>
      <color theme="1"/>
      <sz val="11"/>
      <scheme val="minor"/>
    </font>
    <font>
      <name val="Calibri"/>
      <b val="1"/>
      <color rgb="001F4E79"/>
      <sz val="16"/>
    </font>
    <font>
      <name val="Calibri"/>
      <b val="1"/>
      <color rgb="001F4E79"/>
      <sz val="12"/>
    </font>
    <font>
      <name val="Calibri"/>
      <i val="1"/>
      <color rgb="00666666"/>
      <sz val="10"/>
    </font>
    <font>
      <name val="Calibri"/>
      <b val="1"/>
      <sz val="11"/>
    </font>
    <font>
      <name val="Calibri"/>
      <b val="1"/>
      <color rgb="000000FF"/>
      <sz val="11"/>
    </font>
    <font>
      <name val="Calibri"/>
      <color rgb="000563C1"/>
      <sz val="11"/>
      <u val="single"/>
    </font>
    <font>
      <name val="Calibri"/>
      <color rgb="000000FF"/>
      <sz val="11"/>
    </font>
    <font>
      <name val="Calibri"/>
      <i val="1"/>
      <color rgb="00666666"/>
      <sz val="9"/>
    </font>
    <font>
      <name val="Calibri"/>
      <b val="1"/>
      <color rgb="00FFFFFF"/>
      <sz val="11"/>
    </font>
    <font>
      <name val="Calibri"/>
      <b val="1"/>
      <color rgb="00000000"/>
      <sz val="11"/>
    </font>
    <font>
      <name val="Calibri"/>
      <color rgb="00000000"/>
      <sz val="11"/>
    </font>
    <font>
      <name val="Calibri"/>
      <color rgb="00666666"/>
      <sz val="9"/>
    </font>
    <font>
      <name val="Calibri"/>
      <b val="1"/>
      <color rgb="001F4E79"/>
      <sz val="14"/>
    </font>
  </fonts>
  <fills count="8">
    <fill>
      <patternFill/>
    </fill>
    <fill>
      <patternFill patternType="gray125"/>
    </fill>
    <fill>
      <patternFill patternType="solid">
        <fgColor rgb="00FFF2CC"/>
      </patternFill>
    </fill>
    <fill>
      <patternFill patternType="solid">
        <fgColor rgb="00D6E3F0"/>
      </patternFill>
    </fill>
    <fill>
      <patternFill patternType="solid">
        <fgColor rgb="001F4E79"/>
      </patternFill>
    </fill>
    <fill>
      <patternFill patternType="solid">
        <fgColor rgb="00C6EFCE"/>
      </patternFill>
    </fill>
    <fill>
      <patternFill patternType="solid">
        <fgColor rgb="00FFE699"/>
      </patternFill>
    </fill>
    <fill>
      <patternFill patternType="solid">
        <fgColor rgb="00E9EDF4"/>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wrapText="1"/>
    </xf>
    <xf numFmtId="0" fontId="5" fillId="2" borderId="0" pivotButton="0" quotePrefix="0" xfId="0"/>
    <xf numFmtId="0" fontId="6" fillId="0" borderId="0" pivotButton="0" quotePrefix="0" xfId="0"/>
    <xf numFmtId="0" fontId="2" fillId="3" borderId="0" pivotButton="0" quotePrefix="0" xfId="0"/>
    <xf numFmtId="0" fontId="0" fillId="3" borderId="0" pivotButton="0" quotePrefix="0" xfId="0"/>
    <xf numFmtId="1" fontId="7" fillId="2" borderId="1" applyAlignment="1" pivotButton="0" quotePrefix="0" xfId="0">
      <alignment horizontal="center"/>
    </xf>
    <xf numFmtId="0" fontId="7" fillId="2" borderId="1" applyAlignment="1" pivotButton="0" quotePrefix="0" xfId="0">
      <alignment horizontal="left"/>
    </xf>
    <xf numFmtId="164" fontId="7" fillId="2" borderId="1" applyAlignment="1" pivotButton="0" quotePrefix="0" xfId="0">
      <alignment horizontal="center"/>
    </xf>
    <xf numFmtId="0" fontId="8" fillId="0" borderId="0" pivotButton="0" quotePrefix="0" xfId="0"/>
    <xf numFmtId="165" fontId="7" fillId="2" borderId="1" applyAlignment="1" pivotButton="0" quotePrefix="0" xfId="0">
      <alignment horizontal="center"/>
    </xf>
    <xf numFmtId="0" fontId="9" fillId="4" borderId="1" applyAlignment="1" pivotButton="0" quotePrefix="0" xfId="0">
      <alignment horizontal="center" wrapText="1"/>
    </xf>
    <xf numFmtId="0" fontId="10" fillId="5" borderId="1" pivotButton="0" quotePrefix="0" xfId="0"/>
    <xf numFmtId="0" fontId="8" fillId="0" borderId="1" pivotButton="0" quotePrefix="0" xfId="0"/>
    <xf numFmtId="0" fontId="0" fillId="0" borderId="1" pivotButton="0" quotePrefix="0" xfId="0"/>
    <xf numFmtId="0" fontId="10" fillId="6" borderId="1" pivotButton="0" quotePrefix="0" xfId="0"/>
    <xf numFmtId="164" fontId="10" fillId="5" borderId="1" applyAlignment="1" pivotButton="0" quotePrefix="0" xfId="0">
      <alignment horizontal="center"/>
    </xf>
    <xf numFmtId="0" fontId="10" fillId="0" borderId="1" pivotButton="0" quotePrefix="0" xfId="0"/>
    <xf numFmtId="164" fontId="11" fillId="0" borderId="1" applyAlignment="1" pivotButton="0" quotePrefix="0" xfId="0">
      <alignment horizontal="center"/>
    </xf>
    <xf numFmtId="165" fontId="11" fillId="0" borderId="1" applyAlignment="1" pivotButton="0" quotePrefix="0" xfId="0">
      <alignment horizontal="center"/>
    </xf>
    <xf numFmtId="3" fontId="7" fillId="2" borderId="1" applyAlignment="1" pivotButton="0" quotePrefix="0" xfId="0">
      <alignment horizontal="center"/>
    </xf>
    <xf numFmtId="3" fontId="11" fillId="0" borderId="1" applyAlignment="1" pivotButton="0" quotePrefix="0" xfId="0">
      <alignment horizontal="center"/>
    </xf>
    <xf numFmtId="0" fontId="10" fillId="3" borderId="1" pivotButton="0" quotePrefix="0" xfId="0"/>
    <xf numFmtId="0" fontId="0" fillId="3" borderId="1" pivotButton="0" quotePrefix="0" xfId="0"/>
    <xf numFmtId="165" fontId="10" fillId="5" borderId="1" applyAlignment="1" pivotButton="0" quotePrefix="0" xfId="0">
      <alignment horizontal="center"/>
    </xf>
    <xf numFmtId="0" fontId="0" fillId="0" borderId="1" applyAlignment="1" pivotButton="0" quotePrefix="0" xfId="0">
      <alignment wrapText="1"/>
    </xf>
    <xf numFmtId="0" fontId="7" fillId="2" borderId="1" applyAlignment="1" pivotButton="0" quotePrefix="0" xfId="0">
      <alignment horizontal="center"/>
    </xf>
    <xf numFmtId="0" fontId="8" fillId="3" borderId="1" pivotButton="0" quotePrefix="0" xfId="0"/>
    <xf numFmtId="0" fontId="11" fillId="0" borderId="1" applyAlignment="1" pivotButton="0" quotePrefix="0" xfId="0">
      <alignment horizontal="center"/>
    </xf>
    <xf numFmtId="0" fontId="12" fillId="7" borderId="1" pivotButton="0" quotePrefix="0" xfId="0"/>
    <xf numFmtId="164" fontId="13" fillId="7" borderId="1" applyAlignment="1" pivotButton="0" quotePrefix="0" xfId="0">
      <alignment horizontal="center"/>
    </xf>
    <xf numFmtId="0" fontId="7" fillId="2" borderId="1" pivotButton="0" quotePrefix="0" xfId="0"/>
    <xf numFmtId="0" fontId="1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Prior / Ask / Recommended / Target ($000s)</a:t>
            </a:r>
          </a:p>
        </rich>
      </tx>
    </title>
    <plotArea>
      <barChart>
        <barDir val="col"/>
        <grouping val="clustered"/>
        <ser>
          <idx val="0"/>
          <order val="0"/>
          <tx>
            <strRef>
              <f>'05_Dashboard'!C21</f>
            </strRef>
          </tx>
          <spPr>
            <a:ln>
              <a:prstDash val="solid"/>
            </a:ln>
          </spPr>
          <cat>
            <numRef>
              <f>'05_Dashboard'!$B$22:$B$25</f>
            </numRef>
          </cat>
          <val>
            <numRef>
              <f>'05_Dashboard'!$C$22:$C$25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$000s</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Funded $ by tier</a:t>
            </a:r>
          </a:p>
        </rich>
      </tx>
    </title>
    <plotArea>
      <pieChart>
        <varyColors val="1"/>
        <ser>
          <idx val="0"/>
          <order val="0"/>
          <tx>
            <strRef>
              <f>'05_Dashboard'!F6</f>
            </strRef>
          </tx>
          <spPr>
            <a:ln>
              <a:prstDash val="solid"/>
            </a:ln>
          </spPr>
          <cat>
            <numRef>
              <f>'05_Dashboard'!$E$7:$E$9</f>
            </numRef>
          </cat>
          <val>
            <numRef>
              <f>'05_Dashboard'!$F$7:$F$9</f>
            </numRef>
          </val>
        </ser>
        <dLbls>
          <showVal val="0"/>
          <showCatName val="0"/>
          <showPercent val="1"/>
        </dLbls>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12</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27</row>
      <rowOff>0</rowOff>
    </from>
    <ext cx="3600000" cy="288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F4E79"/>
    <outlinePr summaryBelow="1" summaryRight="1"/>
    <pageSetUpPr fitToPage="1"/>
  </sheetPr>
  <dimension ref="B2:B22"/>
  <sheetViews>
    <sheetView showGridLines="0" workbookViewId="0">
      <selection activeCell="A1" sqref="A1"/>
    </sheetView>
  </sheetViews>
  <sheetFormatPr baseColWidth="8" defaultRowHeight="15"/>
  <cols>
    <col width="4" customWidth="1" min="1" max="1"/>
    <col width="96" customWidth="1" min="2" max="2"/>
  </cols>
  <sheetData>
    <row r="2">
      <c r="B2" s="1" t="inlineStr">
        <is>
          <t>Northline Consumer Products</t>
        </is>
      </c>
    </row>
    <row r="3">
      <c r="B3" s="2" t="inlineStr">
        <is>
          <t>OpEx zero-based budget pack  ·  Cost centers, decision packages, savings bridge</t>
        </is>
      </c>
    </row>
    <row r="4">
      <c r="B4" s="3" t="inlineStr">
        <is>
          <t>FY26 ZBB cycle  ·  must-have vs discretionary  ·  fictional CPG company  ·  $000s</t>
        </is>
      </c>
    </row>
    <row r="6">
      <c r="B6" s="4" t="inlineStr">
        <is>
          <t>What this file is</t>
        </is>
      </c>
    </row>
    <row r="7" ht="68" customHeight="1">
      <c r="B7" s="5" t="inlineStr">
        <is>
          <t>A zero-based OpEx pack for Northline's FY26 budget. Cost centers submit prior-year actuals and a fresh ask. Spend is rebuilt as decision packages (Must-Have / Should-Have / Nice-to-Have). A fund Y/N toggle and an OpEx target produce a recommended budget and a Prior → Ask → ZBB cuts → Target savings bridge for the CFO review.</t>
        </is>
      </c>
    </row>
    <row r="9">
      <c r="B9" s="4" t="inlineStr">
        <is>
          <t>How to use</t>
        </is>
      </c>
    </row>
    <row r="10">
      <c r="B10" t="inlineStr">
        <is>
          <t>1. Open 01_Assumptions. Set FY26 OpEx target and ZBB policy (must-fund floor, discretionary cut bias).</t>
        </is>
      </c>
    </row>
    <row r="11">
      <c r="B11" t="inlineStr">
        <is>
          <t>2. Review prior / request / FTE drivers on 02_Cost_Centers.</t>
        </is>
      </c>
    </row>
    <row r="12">
      <c r="B12" t="inlineStr">
        <is>
          <t>3. Fund or defer packages on 03_Decision_Packages (yellow Fund Y/N cells).</t>
        </is>
      </c>
    </row>
    <row r="13">
      <c r="B13" t="inlineStr">
        <is>
          <t>4. Walk Prior → Ask → Cuts → Recommended / Target on 04_Savings_Bridge.</t>
        </is>
      </c>
    </row>
    <row r="14">
      <c r="B14" t="inlineStr">
        <is>
          <t>5. Use 05_Dashboard for ask vs target, tier mix, and gap-to-target.</t>
        </is>
      </c>
    </row>
    <row r="16">
      <c r="B16" s="4" t="inlineStr">
        <is>
          <t>File conventions</t>
        </is>
      </c>
    </row>
    <row r="17">
      <c r="B17" s="6" t="inlineStr">
        <is>
          <t>Yellow cells with blue font = inputs. Black font = formulas. Green cells = key outputs.</t>
        </is>
      </c>
    </row>
    <row r="18">
      <c r="B18" t="inlineStr">
        <is>
          <t>All figures are fictional. No employer data. Dollar figures in $000s.</t>
        </is>
      </c>
    </row>
    <row r="20">
      <c r="B20" s="4" t="inlineStr">
        <is>
          <t>Portfolio</t>
        </is>
      </c>
    </row>
    <row r="21">
      <c r="B21" t="inlineStr">
        <is>
          <t>Sai Siri Bandaru — Financial Analyst | FP&amp;A | forecasting, variance analysis, Excel</t>
        </is>
      </c>
    </row>
    <row r="22">
      <c r="B22" s="7" t="inlineStr">
        <is>
          <t>https://github.com/saisiri-bandaru</t>
        </is>
      </c>
    </row>
  </sheetData>
  <pageMargins left="0.75" right="0.75" top="1" bottom="1" header="0.5" footer="0.5"/>
  <pageSetup orientation="landscape" paperSize="3" fitToHeight="1" fitToWidth="1"/>
  <headerFooter>
    <oddHeader/>
    <oddFooter>&amp;LNorthline Consumer Products  |  fictional sample  |  $000s&amp;RPage &amp;P of &amp;N</oddFooter>
    <evenHeader/>
    <evenFooter/>
    <firstHeader/>
    <firstFooter/>
  </headerFooter>
</worksheet>
</file>

<file path=xl/worksheets/sheet2.xml><?xml version="1.0" encoding="utf-8"?>
<worksheet xmlns="http://schemas.openxmlformats.org/spreadsheetml/2006/main">
  <sheetPr>
    <tabColor rgb="00F7C948"/>
    <outlinePr summaryBelow="1" summaryRight="1"/>
    <pageSetUpPr fitToPage="1"/>
  </sheetPr>
  <dimension ref="B2:D2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 customWidth="1" min="1" max="1"/>
    <col width="48" customWidth="1" min="2" max="2"/>
    <col width="16" customWidth="1" min="3" max="3"/>
    <col width="16" customWidth="1" min="4" max="4"/>
    <col width="28" customWidth="1" min="5" max="5"/>
    <col width="14" customWidth="1" min="6" max="6"/>
  </cols>
  <sheetData>
    <row r="2">
      <c r="B2" s="1" t="inlineStr">
        <is>
          <t>Assumptions</t>
        </is>
      </c>
    </row>
    <row r="3">
      <c r="B3" s="3" t="inlineStr">
        <is>
          <t>Yellow + blue = inputs. Target and ZBB policy drive the savings bridge and dashboard gap.</t>
        </is>
      </c>
    </row>
    <row r="5">
      <c r="B5" s="8" t="inlineStr">
        <is>
          <t>Control panel</t>
        </is>
      </c>
      <c r="C5" s="9" t="n"/>
      <c r="D5" s="9" t="n"/>
    </row>
    <row r="6">
      <c r="B6" t="inlineStr">
        <is>
          <t>Budget year</t>
        </is>
      </c>
      <c r="C6" s="10" t="n">
        <v>2026</v>
      </c>
    </row>
    <row r="7">
      <c r="B7" t="inlineStr">
        <is>
          <t>Company</t>
        </is>
      </c>
      <c r="C7" s="11" t="inlineStr">
        <is>
          <t>Northline Consumer Products</t>
        </is>
      </c>
    </row>
    <row r="8">
      <c r="B8" t="inlineStr">
        <is>
          <t>FY26 OpEx target ($000s)</t>
        </is>
      </c>
      <c r="C8" s="12" t="n">
        <v>112000</v>
      </c>
      <c r="D8" s="13" t="inlineStr">
        <is>
          <t>CFO stretch vs prior</t>
        </is>
      </c>
    </row>
    <row r="9">
      <c r="B9" t="inlineStr">
        <is>
          <t>Must-Have fund floor (% of Must $)</t>
        </is>
      </c>
      <c r="C9" s="14" t="n">
        <v>1</v>
      </c>
      <c r="D9" s="13" t="inlineStr">
        <is>
          <t>Policy: fund 100% of Must-Have</t>
        </is>
      </c>
    </row>
    <row r="10">
      <c r="B10" t="inlineStr">
        <is>
          <t>Should-Have default fund bias</t>
        </is>
      </c>
      <c r="C10" s="14" t="n">
        <v>0.7</v>
      </c>
      <c r="D10" s="13" t="inlineStr">
        <is>
          <t>Informational — actual fund flags on packages tab</t>
        </is>
      </c>
    </row>
    <row r="11">
      <c r="B11" t="inlineStr">
        <is>
          <t>Nice-to-Have default fund bias</t>
        </is>
      </c>
      <c r="C11" s="14" t="n">
        <v>0</v>
      </c>
      <c r="D11" s="13" t="inlineStr">
        <is>
          <t>Policy: defer Nice-to-Have unless exception</t>
        </is>
      </c>
    </row>
    <row r="13">
      <c r="B13" s="8" t="inlineStr">
        <is>
          <t>Tier legend</t>
        </is>
      </c>
      <c r="C13" s="9" t="n"/>
      <c r="D13" s="9" t="n"/>
    </row>
    <row r="14">
      <c r="B14" s="15" t="inlineStr">
        <is>
          <t>Tier</t>
        </is>
      </c>
      <c r="C14" s="15" t="inlineStr">
        <is>
          <t>Meaning</t>
        </is>
      </c>
      <c r="D14" s="15" t="inlineStr">
        <is>
          <t>Default stance</t>
        </is>
      </c>
    </row>
    <row r="15">
      <c r="B15" s="16" t="inlineStr">
        <is>
          <t>Must-Have</t>
        </is>
      </c>
      <c r="C15" s="17" t="inlineStr">
        <is>
          <t>Required to run the business / compliance / revenue protection</t>
        </is>
      </c>
      <c r="D15" s="18" t="inlineStr">
        <is>
          <t>Fund</t>
        </is>
      </c>
    </row>
    <row r="16">
      <c r="B16" s="19" t="inlineStr">
        <is>
          <t>Should-Have</t>
        </is>
      </c>
      <c r="C16" s="17" t="inlineStr">
        <is>
          <t>High-ROI growth or efficiency; fund if within target</t>
        </is>
      </c>
      <c r="D16" s="18" t="inlineStr">
        <is>
          <t>Case-by-case</t>
        </is>
      </c>
    </row>
    <row r="17">
      <c r="B17" s="19" t="inlineStr">
        <is>
          <t>Nice-to-Have</t>
        </is>
      </c>
      <c r="C17" s="17" t="inlineStr">
        <is>
          <t>Discretionary / deferrable / low near-term ROI</t>
        </is>
      </c>
      <c r="D17" s="18" t="inlineStr">
        <is>
          <t>Defer</t>
        </is>
      </c>
    </row>
    <row r="19">
      <c r="B19" s="8" t="inlineStr">
        <is>
          <t>Roll-up checks (formulas from other tabs)</t>
        </is>
      </c>
      <c r="C19" s="9" t="n"/>
      <c r="D19" s="9" t="n"/>
    </row>
    <row r="20">
      <c r="B20" t="inlineStr">
        <is>
          <t>Prior-year OpEx (sum of cost centers)</t>
        </is>
      </c>
      <c r="C20" s="20">
        <f>02_Cost_Centers!E20</f>
        <v/>
      </c>
    </row>
    <row r="21">
      <c r="B21" t="inlineStr">
        <is>
          <t>Total ask (sum of cost centers)</t>
        </is>
      </c>
      <c r="C21" s="20">
        <f>02_Cost_Centers!F20</f>
        <v/>
      </c>
    </row>
    <row r="22">
      <c r="B22" t="inlineStr">
        <is>
          <t>Package ask (sum of decision packages)</t>
        </is>
      </c>
      <c r="C22" s="20">
        <f>03_Decision_Packages!F42</f>
        <v/>
      </c>
    </row>
    <row r="23">
      <c r="B23" t="inlineStr">
        <is>
          <t>Funded packages (recommended)</t>
        </is>
      </c>
      <c r="C23" s="20">
        <f>03_Decision_Packages!H42</f>
        <v/>
      </c>
    </row>
    <row r="24">
      <c r="B24" t="inlineStr">
        <is>
          <t>Gap: funded vs target (negative = under target)</t>
        </is>
      </c>
      <c r="C24" s="20">
        <f>C23-C8</f>
        <v/>
      </c>
    </row>
    <row r="26">
      <c r="B26" s="3" t="inlineStr">
        <is>
          <t>Ask should ≈ package total. Fund flags on 03_Decision_Packages are the ZBB decisions.</t>
        </is>
      </c>
    </row>
  </sheetData>
  <pageMargins left="0.75" right="0.75" top="1" bottom="1" header="0.5" footer="0.5"/>
  <pageSetup orientation="landscape" paperSize="3" fitToHeight="0" fitToWidth="1"/>
  <headerFooter>
    <oddHeader/>
    <oddFooter>&amp;LNorthline Consumer Products  |  fictional sample  |  $000s&amp;RPage &amp;P of &amp;N</oddFooter>
    <evenHeader/>
    <evenFooter/>
    <firstHeader/>
    <firstFooter/>
  </headerFooter>
</worksheet>
</file>

<file path=xl/worksheets/sheet3.xml><?xml version="1.0" encoding="utf-8"?>
<worksheet xmlns="http://schemas.openxmlformats.org/spreadsheetml/2006/main">
  <sheetPr>
    <tabColor rgb="005B9BD5"/>
    <outlinePr summaryBelow="1" summaryRight="1"/>
    <pageSetUpPr fitToPage="1"/>
  </sheetPr>
  <dimension ref="B2:L2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26" customWidth="1" min="3" max="3"/>
    <col width="14" customWidth="1" min="4" max="4"/>
    <col width="12" customWidth="1" min="5" max="5"/>
    <col width="12" customWidth="1" min="6" max="6"/>
    <col width="12" customWidth="1" min="7" max="7"/>
    <col width="10" customWidth="1" min="8" max="8"/>
    <col width="10" customWidth="1" min="9" max="9"/>
    <col width="12" customWidth="1" min="10" max="10"/>
    <col width="12" customWidth="1" min="11" max="11"/>
    <col width="22" customWidth="1" min="12" max="12"/>
  </cols>
  <sheetData>
    <row r="2">
      <c r="B2" s="1" t="inlineStr">
        <is>
          <t>Cost centers</t>
        </is>
      </c>
    </row>
    <row r="3">
      <c r="B3" s="3" t="inlineStr">
        <is>
          <t>Prior-year actuals, FY26 request, and headcount drivers. Yellow = editable inputs.</t>
        </is>
      </c>
    </row>
    <row r="5">
      <c r="B5" s="8" t="inlineStr">
        <is>
          <t>Cost-center ledger ($000s)</t>
        </is>
      </c>
      <c r="C5" s="9" t="n"/>
      <c r="D5" s="9" t="n"/>
      <c r="E5" s="9" t="n"/>
      <c r="F5" s="9" t="n"/>
      <c r="G5" s="9" t="n"/>
      <c r="H5" s="9" t="n"/>
      <c r="I5" s="9" t="n"/>
      <c r="J5" s="9" t="n"/>
      <c r="K5" s="9" t="n"/>
    </row>
    <row r="6">
      <c r="B6" s="15" t="inlineStr">
        <is>
          <t>Code</t>
        </is>
      </c>
      <c r="C6" s="15" t="inlineStr">
        <is>
          <t>Cost center</t>
        </is>
      </c>
      <c r="D6" s="15" t="inlineStr">
        <is>
          <t>Owner</t>
        </is>
      </c>
      <c r="E6" s="15" t="inlineStr">
        <is>
          <t>Prior FY</t>
        </is>
      </c>
      <c r="F6" s="15" t="inlineStr">
        <is>
          <t>FY26 ask</t>
        </is>
      </c>
      <c r="G6" s="15" t="inlineStr">
        <is>
          <t>Δ $</t>
        </is>
      </c>
      <c r="H6" s="15" t="inlineStr">
        <is>
          <t>Δ %</t>
        </is>
      </c>
      <c r="I6" s="15" t="inlineStr">
        <is>
          <t>FTE prior</t>
        </is>
      </c>
      <c r="J6" s="15" t="inlineStr">
        <is>
          <t>FTE ask</t>
        </is>
      </c>
      <c r="K6" s="15" t="inlineStr">
        <is>
          <t>Δ FTE</t>
        </is>
      </c>
      <c r="L6" s="15" t="inlineStr">
        <is>
          <t>Driver note</t>
        </is>
      </c>
    </row>
    <row r="7">
      <c r="B7" s="21" t="inlineStr">
        <is>
          <t>CC-110</t>
        </is>
      </c>
      <c r="C7" s="18" t="inlineStr">
        <is>
          <t>Field Sales</t>
        </is>
      </c>
      <c r="D7" s="17" t="inlineStr">
        <is>
          <t>VP Sales</t>
        </is>
      </c>
      <c r="E7" s="12" t="n">
        <v>12800</v>
      </c>
      <c r="F7" s="12" t="n">
        <v>14100</v>
      </c>
      <c r="G7" s="22">
        <f>F7-E7</f>
        <v/>
      </c>
      <c r="H7" s="23">
        <f>F7/E7-1</f>
        <v/>
      </c>
      <c r="I7" s="24" t="n">
        <v>86</v>
      </c>
      <c r="J7" s="24" t="n">
        <v>92</v>
      </c>
      <c r="K7" s="25">
        <f>J7-I7</f>
        <v/>
      </c>
      <c r="L7" s="17" t="inlineStr">
        <is>
          <t>Headcount + travel</t>
        </is>
      </c>
    </row>
    <row r="8">
      <c r="B8" s="21" t="inlineStr">
        <is>
          <t>CC-120</t>
        </is>
      </c>
      <c r="C8" s="18" t="inlineStr">
        <is>
          <t>Trade Marketing</t>
        </is>
      </c>
      <c r="D8" s="17" t="inlineStr">
        <is>
          <t>VP Sales</t>
        </is>
      </c>
      <c r="E8" s="12" t="n">
        <v>9200</v>
      </c>
      <c r="F8" s="12" t="n">
        <v>9800</v>
      </c>
      <c r="G8" s="22">
        <f>F8-E8</f>
        <v/>
      </c>
      <c r="H8" s="23">
        <f>F8/E8-1</f>
        <v/>
      </c>
      <c r="I8" s="24" t="n">
        <v>18</v>
      </c>
      <c r="J8" s="24" t="n">
        <v>19</v>
      </c>
      <c r="K8" s="25">
        <f>J8-I8</f>
        <v/>
      </c>
      <c r="L8" s="17" t="inlineStr">
        <is>
          <t>Shopper programs</t>
        </is>
      </c>
    </row>
    <row r="9">
      <c r="B9" s="21" t="inlineStr">
        <is>
          <t>CC-210</t>
        </is>
      </c>
      <c r="C9" s="18" t="inlineStr">
        <is>
          <t>Brand Marketing</t>
        </is>
      </c>
      <c r="D9" s="17" t="inlineStr">
        <is>
          <t>CMO</t>
        </is>
      </c>
      <c r="E9" s="12" t="n">
        <v>15400</v>
      </c>
      <c r="F9" s="12" t="n">
        <v>17200</v>
      </c>
      <c r="G9" s="22">
        <f>F9-E9</f>
        <v/>
      </c>
      <c r="H9" s="23">
        <f>F9/E9-1</f>
        <v/>
      </c>
      <c r="I9" s="24" t="n">
        <v>24</v>
      </c>
      <c r="J9" s="24" t="n">
        <v>26</v>
      </c>
      <c r="K9" s="25">
        <f>J9-I9</f>
        <v/>
      </c>
      <c r="L9" s="17" t="inlineStr">
        <is>
          <t>Media + agency</t>
        </is>
      </c>
    </row>
    <row r="10">
      <c r="B10" s="21" t="inlineStr">
        <is>
          <t>CC-220</t>
        </is>
      </c>
      <c r="C10" s="18" t="inlineStr">
        <is>
          <t>Digital / E-comm</t>
        </is>
      </c>
      <c r="D10" s="17" t="inlineStr">
        <is>
          <t>CMO</t>
        </is>
      </c>
      <c r="E10" s="12" t="n">
        <v>6100</v>
      </c>
      <c r="F10" s="12" t="n">
        <v>7400</v>
      </c>
      <c r="G10" s="22">
        <f>F10-E10</f>
        <v/>
      </c>
      <c r="H10" s="23">
        <f>F10/E10-1</f>
        <v/>
      </c>
      <c r="I10" s="24" t="n">
        <v>14</v>
      </c>
      <c r="J10" s="24" t="n">
        <v>17</v>
      </c>
      <c r="K10" s="25">
        <f>J10-I10</f>
        <v/>
      </c>
      <c r="L10" s="17" t="inlineStr">
        <is>
          <t>Performance media</t>
        </is>
      </c>
    </row>
    <row r="11">
      <c r="B11" s="21" t="inlineStr">
        <is>
          <t>CC-310</t>
        </is>
      </c>
      <c r="C11" s="18" t="inlineStr">
        <is>
          <t>Distribution / Logistics</t>
        </is>
      </c>
      <c r="D11" s="17" t="inlineStr">
        <is>
          <t>VP Supply</t>
        </is>
      </c>
      <c r="E11" s="12" t="n">
        <v>7600</v>
      </c>
      <c r="F11" s="12" t="n">
        <v>8100</v>
      </c>
      <c r="G11" s="22">
        <f>F11-E11</f>
        <v/>
      </c>
      <c r="H11" s="23">
        <f>F11/E11-1</f>
        <v/>
      </c>
      <c r="I11" s="24" t="n">
        <v>42</v>
      </c>
      <c r="J11" s="24" t="n">
        <v>44</v>
      </c>
      <c r="K11" s="25">
        <f>J11-I11</f>
        <v/>
      </c>
      <c r="L11" s="17" t="inlineStr">
        <is>
          <t>Freight rates</t>
        </is>
      </c>
    </row>
    <row r="12">
      <c r="B12" s="21" t="inlineStr">
        <is>
          <t>CC-410</t>
        </is>
      </c>
      <c r="C12" s="18" t="inlineStr">
        <is>
          <t>Plant Quality</t>
        </is>
      </c>
      <c r="D12" s="17" t="inlineStr">
        <is>
          <t>VP Ops</t>
        </is>
      </c>
      <c r="E12" s="12" t="n">
        <v>4200</v>
      </c>
      <c r="F12" s="12" t="n">
        <v>4500</v>
      </c>
      <c r="G12" s="22">
        <f>F12-E12</f>
        <v/>
      </c>
      <c r="H12" s="23">
        <f>F12/E12-1</f>
        <v/>
      </c>
      <c r="I12" s="24" t="n">
        <v>28</v>
      </c>
      <c r="J12" s="24" t="n">
        <v>29</v>
      </c>
      <c r="K12" s="25">
        <f>J12-I12</f>
        <v/>
      </c>
      <c r="L12" s="17" t="inlineStr">
        <is>
          <t>Lab + audits</t>
        </is>
      </c>
    </row>
    <row r="13">
      <c r="B13" s="21" t="inlineStr">
        <is>
          <t>CC-510</t>
        </is>
      </c>
      <c r="C13" s="18" t="inlineStr">
        <is>
          <t>G&amp;A — Finance</t>
        </is>
      </c>
      <c r="D13" s="17" t="inlineStr">
        <is>
          <t>CFO</t>
        </is>
      </c>
      <c r="E13" s="12" t="n">
        <v>8900</v>
      </c>
      <c r="F13" s="12" t="n">
        <v>9200</v>
      </c>
      <c r="G13" s="22">
        <f>F13-E13</f>
        <v/>
      </c>
      <c r="H13" s="23">
        <f>F13/E13-1</f>
        <v/>
      </c>
      <c r="I13" s="24" t="n">
        <v>38</v>
      </c>
      <c r="J13" s="24" t="n">
        <v>39</v>
      </c>
      <c r="K13" s="25">
        <f>J13-I13</f>
        <v/>
      </c>
      <c r="L13" s="17" t="inlineStr">
        <is>
          <t>Systems + close</t>
        </is>
      </c>
    </row>
    <row r="14">
      <c r="B14" s="21" t="inlineStr">
        <is>
          <t>CC-520</t>
        </is>
      </c>
      <c r="C14" s="18" t="inlineStr">
        <is>
          <t>G&amp;A — HR / People</t>
        </is>
      </c>
      <c r="D14" s="17" t="inlineStr">
        <is>
          <t>CHRO</t>
        </is>
      </c>
      <c r="E14" s="12" t="n">
        <v>5400</v>
      </c>
      <c r="F14" s="12" t="n">
        <v>5800</v>
      </c>
      <c r="G14" s="22">
        <f>F14-E14</f>
        <v/>
      </c>
      <c r="H14" s="23">
        <f>F14/E14-1</f>
        <v/>
      </c>
      <c r="I14" s="24" t="n">
        <v>22</v>
      </c>
      <c r="J14" s="24" t="n">
        <v>24</v>
      </c>
      <c r="K14" s="25">
        <f>J14-I14</f>
        <v/>
      </c>
      <c r="L14" s="17" t="inlineStr">
        <is>
          <t>Talent programs</t>
        </is>
      </c>
    </row>
    <row r="15">
      <c r="B15" s="21" t="inlineStr">
        <is>
          <t>CC-530</t>
        </is>
      </c>
      <c r="C15" s="18" t="inlineStr">
        <is>
          <t>G&amp;A — IT / Digital</t>
        </is>
      </c>
      <c r="D15" s="17" t="inlineStr">
        <is>
          <t>CIO</t>
        </is>
      </c>
      <c r="E15" s="12" t="n">
        <v>11200</v>
      </c>
      <c r="F15" s="12" t="n">
        <v>12800</v>
      </c>
      <c r="G15" s="22">
        <f>F15-E15</f>
        <v/>
      </c>
      <c r="H15" s="23">
        <f>F15/E15-1</f>
        <v/>
      </c>
      <c r="I15" s="24" t="n">
        <v>31</v>
      </c>
      <c r="J15" s="24" t="n">
        <v>34</v>
      </c>
      <c r="K15" s="25">
        <f>J15-I15</f>
        <v/>
      </c>
      <c r="L15" s="17" t="inlineStr">
        <is>
          <t>SaaS + cyber</t>
        </is>
      </c>
    </row>
    <row r="16">
      <c r="B16" s="21" t="inlineStr">
        <is>
          <t>CC-610</t>
        </is>
      </c>
      <c r="C16" s="18" t="inlineStr">
        <is>
          <t>R&amp;D / Innovation</t>
        </is>
      </c>
      <c r="D16" s="17" t="inlineStr">
        <is>
          <t>CTO</t>
        </is>
      </c>
      <c r="E16" s="12" t="n">
        <v>17800</v>
      </c>
      <c r="F16" s="12" t="n">
        <v>19100</v>
      </c>
      <c r="G16" s="22">
        <f>F16-E16</f>
        <v/>
      </c>
      <c r="H16" s="23">
        <f>F16/E16-1</f>
        <v/>
      </c>
      <c r="I16" s="24" t="n">
        <v>48</v>
      </c>
      <c r="J16" s="24" t="n">
        <v>51</v>
      </c>
      <c r="K16" s="25">
        <f>J16-I16</f>
        <v/>
      </c>
      <c r="L16" s="17" t="inlineStr">
        <is>
          <t>Projects + trials</t>
        </is>
      </c>
    </row>
    <row r="17">
      <c r="B17" s="21" t="inlineStr">
        <is>
          <t>CC-710</t>
        </is>
      </c>
      <c r="C17" s="18" t="inlineStr">
        <is>
          <t>Corporate / Legal</t>
        </is>
      </c>
      <c r="D17" s="17" t="inlineStr">
        <is>
          <t>GC</t>
        </is>
      </c>
      <c r="E17" s="12" t="n">
        <v>4800</v>
      </c>
      <c r="F17" s="12" t="n">
        <v>5100</v>
      </c>
      <c r="G17" s="22">
        <f>F17-E17</f>
        <v/>
      </c>
      <c r="H17" s="23">
        <f>F17/E17-1</f>
        <v/>
      </c>
      <c r="I17" s="24" t="n">
        <v>12</v>
      </c>
      <c r="J17" s="24" t="n">
        <v>12</v>
      </c>
      <c r="K17" s="25">
        <f>J17-I17</f>
        <v/>
      </c>
      <c r="L17" s="17" t="inlineStr">
        <is>
          <t>Counsel + insurance</t>
        </is>
      </c>
    </row>
    <row r="18">
      <c r="B18" s="21" t="inlineStr">
        <is>
          <t>CC-810</t>
        </is>
      </c>
      <c r="C18" s="18" t="inlineStr">
        <is>
          <t>Facilities / RE</t>
        </is>
      </c>
      <c r="D18" s="17" t="inlineStr">
        <is>
          <t>CFO</t>
        </is>
      </c>
      <c r="E18" s="12" t="n">
        <v>3600</v>
      </c>
      <c r="F18" s="12" t="n">
        <v>3700</v>
      </c>
      <c r="G18" s="22">
        <f>F18-E18</f>
        <v/>
      </c>
      <c r="H18" s="23">
        <f>F18/E18-1</f>
        <v/>
      </c>
      <c r="I18" s="24" t="n">
        <v>8</v>
      </c>
      <c r="J18" s="24" t="n">
        <v>8</v>
      </c>
      <c r="K18" s="25">
        <f>J18-I18</f>
        <v/>
      </c>
      <c r="L18" s="17" t="inlineStr">
        <is>
          <t>Lease + utilities</t>
        </is>
      </c>
    </row>
    <row r="19">
      <c r="B19" t="inlineStr"/>
    </row>
    <row r="20">
      <c r="B20" s="26" t="inlineStr">
        <is>
          <t>TOTAL</t>
        </is>
      </c>
      <c r="C20" s="27" t="inlineStr"/>
      <c r="D20" s="27" t="inlineStr"/>
      <c r="E20" s="20">
        <f>SUM(E7:E18)</f>
        <v/>
      </c>
      <c r="F20" s="20">
        <f>SUM(F7:F18)</f>
        <v/>
      </c>
      <c r="G20" s="20">
        <f>F20-E20</f>
        <v/>
      </c>
      <c r="H20" s="23">
        <f>F20/E20-1</f>
        <v/>
      </c>
      <c r="I20" s="25">
        <f>SUM(I7:I18)</f>
        <v/>
      </c>
      <c r="J20" s="25">
        <f>SUM(J7:J18)</f>
        <v/>
      </c>
      <c r="K20" s="25">
        <f>J20-I20</f>
        <v/>
      </c>
    </row>
    <row r="22">
      <c r="B22" s="4" t="inlineStr">
        <is>
          <t>Ask vs prior</t>
        </is>
      </c>
    </row>
    <row r="23">
      <c r="B23" t="inlineStr">
        <is>
          <t>YoY ask growth $</t>
        </is>
      </c>
      <c r="C23" s="20">
        <f>G20</f>
        <v/>
      </c>
    </row>
    <row r="24">
      <c r="B24" t="inlineStr">
        <is>
          <t>YoY ask growth %</t>
        </is>
      </c>
      <c r="C24" s="28">
        <f>H20</f>
        <v/>
      </c>
    </row>
    <row r="26">
      <c r="B26" s="3" t="inlineStr">
        <is>
          <t>Note: package rebuild on 03_Decision_Packages should reconcile to FY26 ask (± rounding).</t>
        </is>
      </c>
    </row>
  </sheetData>
  <pageMargins left="0.75" right="0.75" top="1" bottom="1" header="0.5" footer="0.5"/>
  <pageSetup orientation="landscape" paperSize="3" fitToHeight="0" fitToWidth="1"/>
  <headerFooter>
    <oddHeader/>
    <oddFooter>&amp;LNorthline Consumer Products  |  fictional sample  |  $000s&amp;RPage &amp;P of &amp;N</oddFooter>
    <evenHeader/>
    <evenFooter/>
    <firstHeader/>
    <firstFooter/>
  </headerFooter>
</worksheet>
</file>

<file path=xl/worksheets/sheet4.xml><?xml version="1.0" encoding="utf-8"?>
<worksheet xmlns="http://schemas.openxmlformats.org/spreadsheetml/2006/main">
  <sheetPr>
    <tabColor rgb="0070AD47"/>
    <outlinePr summaryBelow="1" summaryRight="1"/>
    <pageSetUpPr fitToPage="1"/>
  </sheetPr>
  <dimension ref="B2:I5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2" customWidth="1" min="3" max="3"/>
    <col width="44" customWidth="1" min="4" max="4"/>
    <col width="14" customWidth="1" min="5" max="5"/>
    <col width="12" customWidth="1" min="6" max="6"/>
    <col width="10" customWidth="1" min="7" max="7"/>
    <col width="12" customWidth="1" min="8" max="8"/>
    <col width="28" customWidth="1" min="9" max="9"/>
  </cols>
  <sheetData>
    <row r="2">
      <c r="B2" s="1" t="inlineStr">
        <is>
          <t>Decision packages</t>
        </is>
      </c>
    </row>
    <row r="3">
      <c r="B3" s="3" t="inlineStr">
        <is>
          <t>ZBB rebuild of OpEx. Toggle Fund (Y/N) on yellow cells. Funded $ rolls to the savings bridge.</t>
        </is>
      </c>
    </row>
    <row r="5">
      <c r="B5" s="8" t="inlineStr">
        <is>
          <t>Package register ($000s)</t>
        </is>
      </c>
      <c r="C5" s="9" t="n"/>
      <c r="D5" s="9" t="n"/>
      <c r="E5" s="9" t="n"/>
      <c r="F5" s="9" t="n"/>
      <c r="G5" s="9" t="n"/>
      <c r="H5" s="9" t="n"/>
    </row>
    <row r="6">
      <c r="B6" s="15" t="inlineStr">
        <is>
          <t>Pkg ID</t>
        </is>
      </c>
      <c r="C6" s="15" t="inlineStr">
        <is>
          <t>Cost center</t>
        </is>
      </c>
      <c r="D6" s="15" t="inlineStr">
        <is>
          <t>Package title</t>
        </is>
      </c>
      <c r="E6" s="15" t="inlineStr">
        <is>
          <t>Tier</t>
        </is>
      </c>
      <c r="F6" s="15" t="inlineStr">
        <is>
          <t>Ask $</t>
        </is>
      </c>
      <c r="G6" s="15" t="inlineStr">
        <is>
          <t>Fund (Y/N)</t>
        </is>
      </c>
      <c r="H6" s="15" t="inlineStr">
        <is>
          <t>Funded $</t>
        </is>
      </c>
      <c r="I6" s="15" t="inlineStr">
        <is>
          <t>Rationale</t>
        </is>
      </c>
    </row>
    <row r="7">
      <c r="B7" s="21" t="inlineStr">
        <is>
          <t>DP-01</t>
        </is>
      </c>
      <c r="C7" s="18" t="inlineStr">
        <is>
          <t>CC-110</t>
        </is>
      </c>
      <c r="D7" s="29" t="inlineStr">
        <is>
          <t>Core field sales coverage (base territory)</t>
        </is>
      </c>
      <c r="E7" s="16" t="inlineStr">
        <is>
          <t>Must-Have</t>
        </is>
      </c>
      <c r="F7" s="12" t="n">
        <v>11200</v>
      </c>
      <c r="G7" s="30" t="inlineStr">
        <is>
          <t>Y</t>
        </is>
      </c>
      <c r="H7" s="22">
        <f>IF(G7="Y",F7,0)</f>
        <v/>
      </c>
      <c r="I7" s="17" t="inlineStr">
        <is>
          <t>Revenue protection</t>
        </is>
      </c>
    </row>
    <row r="8">
      <c r="B8" s="21" t="inlineStr">
        <is>
          <t>DP-02</t>
        </is>
      </c>
      <c r="C8" s="18" t="inlineStr">
        <is>
          <t>CC-110</t>
        </is>
      </c>
      <c r="D8" s="29" t="inlineStr">
        <is>
          <t>New Club channel SE expansion (6 FTEs)</t>
        </is>
      </c>
      <c r="E8" s="19" t="inlineStr">
        <is>
          <t>Should-Have</t>
        </is>
      </c>
      <c r="F8" s="12" t="n">
        <v>1800</v>
      </c>
      <c r="G8" s="30" t="inlineStr">
        <is>
          <t>Y</t>
        </is>
      </c>
      <c r="H8" s="22">
        <f>IF(G8="Y",F8,0)</f>
        <v/>
      </c>
      <c r="I8" s="17" t="inlineStr">
        <is>
          <t>Growth bet</t>
        </is>
      </c>
    </row>
    <row r="9">
      <c r="B9" s="21" t="inlineStr">
        <is>
          <t>DP-03</t>
        </is>
      </c>
      <c r="C9" s="18" t="inlineStr">
        <is>
          <t>CC-110</t>
        </is>
      </c>
      <c r="D9" s="29" t="inlineStr">
        <is>
          <t>National sales meeting + incentive trip</t>
        </is>
      </c>
      <c r="E9" s="19" t="inlineStr">
        <is>
          <t>Nice-to-Have</t>
        </is>
      </c>
      <c r="F9" s="12" t="n">
        <v>1100</v>
      </c>
      <c r="G9" s="30" t="inlineStr">
        <is>
          <t>N</t>
        </is>
      </c>
      <c r="H9" s="22">
        <f>IF(G9="Y",F9,0)</f>
        <v/>
      </c>
      <c r="I9" s="17" t="inlineStr">
        <is>
          <t>Deferrable</t>
        </is>
      </c>
    </row>
    <row r="10">
      <c r="B10" s="21" t="inlineStr">
        <is>
          <t>DP-04</t>
        </is>
      </c>
      <c r="C10" s="18" t="inlineStr">
        <is>
          <t>CC-120</t>
        </is>
      </c>
      <c r="D10" s="29" t="inlineStr">
        <is>
          <t>Base trade calendar &amp; broker fees</t>
        </is>
      </c>
      <c r="E10" s="16" t="inlineStr">
        <is>
          <t>Must-Have</t>
        </is>
      </c>
      <c r="F10" s="12" t="n">
        <v>7800</v>
      </c>
      <c r="G10" s="30" t="inlineStr">
        <is>
          <t>Y</t>
        </is>
      </c>
      <c r="H10" s="22">
        <f>IF(G10="Y",F10,0)</f>
        <v/>
      </c>
      <c r="I10" s="17" t="inlineStr">
        <is>
          <t>Plan delivery</t>
        </is>
      </c>
    </row>
    <row r="11">
      <c r="B11" s="21" t="inlineStr">
        <is>
          <t>DP-05</t>
        </is>
      </c>
      <c r="C11" s="18" t="inlineStr">
        <is>
          <t>CC-120</t>
        </is>
      </c>
      <c r="D11" s="29" t="inlineStr">
        <is>
          <t>Incremental Club shipper program</t>
        </is>
      </c>
      <c r="E11" s="19" t="inlineStr">
        <is>
          <t>Should-Have</t>
        </is>
      </c>
      <c r="F11" s="12" t="n">
        <v>1400</v>
      </c>
      <c r="G11" s="30" t="inlineStr">
        <is>
          <t>N</t>
        </is>
      </c>
      <c r="H11" s="22">
        <f>IF(G11="Y",F11,0)</f>
        <v/>
      </c>
      <c r="I11" s="17" t="inlineStr">
        <is>
          <t>ROI unclear</t>
        </is>
      </c>
    </row>
    <row r="12">
      <c r="B12" s="21" t="inlineStr">
        <is>
          <t>DP-06</t>
        </is>
      </c>
      <c r="C12" s="18" t="inlineStr">
        <is>
          <t>CC-120</t>
        </is>
      </c>
      <c r="D12" s="29" t="inlineStr">
        <is>
          <t>Holiday display contests</t>
        </is>
      </c>
      <c r="E12" s="19" t="inlineStr">
        <is>
          <t>Nice-to-Have</t>
        </is>
      </c>
      <c r="F12" s="12" t="n">
        <v>600</v>
      </c>
      <c r="G12" s="30" t="inlineStr">
        <is>
          <t>N</t>
        </is>
      </c>
      <c r="H12" s="22">
        <f>IF(G12="Y",F12,0)</f>
        <v/>
      </c>
      <c r="I12" s="17" t="inlineStr">
        <is>
          <t>Cut</t>
        </is>
      </c>
    </row>
    <row r="13">
      <c r="B13" s="21" t="inlineStr">
        <is>
          <t>DP-07</t>
        </is>
      </c>
      <c r="C13" s="18" t="inlineStr">
        <is>
          <t>CC-210</t>
        </is>
      </c>
      <c r="D13" s="29" t="inlineStr">
        <is>
          <t>Core brand media (TV + social always-on)</t>
        </is>
      </c>
      <c r="E13" s="16" t="inlineStr">
        <is>
          <t>Must-Have</t>
        </is>
      </c>
      <c r="F13" s="12" t="n">
        <v>12800</v>
      </c>
      <c r="G13" s="30" t="inlineStr">
        <is>
          <t>Y</t>
        </is>
      </c>
      <c r="H13" s="22">
        <f>IF(G13="Y",F13,0)</f>
        <v/>
      </c>
      <c r="I13" s="17" t="inlineStr">
        <is>
          <t>Brand equity</t>
        </is>
      </c>
    </row>
    <row r="14">
      <c r="B14" s="21" t="inlineStr">
        <is>
          <t>DP-08</t>
        </is>
      </c>
      <c r="C14" s="18" t="inlineStr">
        <is>
          <t>CC-210</t>
        </is>
      </c>
      <c r="D14" s="29" t="inlineStr">
        <is>
          <t>New flavor launch campaign</t>
        </is>
      </c>
      <c r="E14" s="19" t="inlineStr">
        <is>
          <t>Should-Have</t>
        </is>
      </c>
      <c r="F14" s="12" t="n">
        <v>3200</v>
      </c>
      <c r="G14" s="30" t="inlineStr">
        <is>
          <t>Y</t>
        </is>
      </c>
      <c r="H14" s="22">
        <f>IF(G14="Y",F14,0)</f>
        <v/>
      </c>
      <c r="I14" s="17" t="inlineStr">
        <is>
          <t>Innovation support</t>
        </is>
      </c>
    </row>
    <row r="15">
      <c r="B15" s="21" t="inlineStr">
        <is>
          <t>DP-09</t>
        </is>
      </c>
      <c r="C15" s="18" t="inlineStr">
        <is>
          <t>CC-210</t>
        </is>
      </c>
      <c r="D15" s="29" t="inlineStr">
        <is>
          <t>Sponsorship / experiential</t>
        </is>
      </c>
      <c r="E15" s="19" t="inlineStr">
        <is>
          <t>Nice-to-Have</t>
        </is>
      </c>
      <c r="F15" s="12" t="n">
        <v>1200</v>
      </c>
      <c r="G15" s="30" t="inlineStr">
        <is>
          <t>N</t>
        </is>
      </c>
      <c r="H15" s="22">
        <f>IF(G15="Y",F15,0)</f>
        <v/>
      </c>
      <c r="I15" s="17" t="inlineStr">
        <is>
          <t>Cut</t>
        </is>
      </c>
    </row>
    <row r="16">
      <c r="B16" s="21" t="inlineStr">
        <is>
          <t>DP-10</t>
        </is>
      </c>
      <c r="C16" s="18" t="inlineStr">
        <is>
          <t>CC-220</t>
        </is>
      </c>
      <c r="D16" s="29" t="inlineStr">
        <is>
          <t>Performance media base + tools</t>
        </is>
      </c>
      <c r="E16" s="16" t="inlineStr">
        <is>
          <t>Must-Have</t>
        </is>
      </c>
      <c r="F16" s="12" t="n">
        <v>5200</v>
      </c>
      <c r="G16" s="30" t="inlineStr">
        <is>
          <t>Y</t>
        </is>
      </c>
      <c r="H16" s="22">
        <f>IF(G16="Y",F16,0)</f>
        <v/>
      </c>
      <c r="I16" s="17" t="inlineStr">
        <is>
          <t>E-comm growth</t>
        </is>
      </c>
    </row>
    <row r="17">
      <c r="B17" s="21" t="inlineStr">
        <is>
          <t>DP-11</t>
        </is>
      </c>
      <c r="C17" s="18" t="inlineStr">
        <is>
          <t>CC-220</t>
        </is>
      </c>
      <c r="D17" s="29" t="inlineStr">
        <is>
          <t>Incremental TikTok / CTV test</t>
        </is>
      </c>
      <c r="E17" s="19" t="inlineStr">
        <is>
          <t>Should-Have</t>
        </is>
      </c>
      <c r="F17" s="12" t="n">
        <v>1400</v>
      </c>
      <c r="G17" s="30" t="inlineStr">
        <is>
          <t>Y</t>
        </is>
      </c>
      <c r="H17" s="22">
        <f>IF(G17="Y",F17,0)</f>
        <v/>
      </c>
      <c r="I17" s="17" t="inlineStr">
        <is>
          <t>Test &amp; learn</t>
        </is>
      </c>
    </row>
    <row r="18">
      <c r="B18" s="21" t="inlineStr">
        <is>
          <t>DP-12</t>
        </is>
      </c>
      <c r="C18" s="18" t="inlineStr">
        <is>
          <t>CC-220</t>
        </is>
      </c>
      <c r="D18" s="29" t="inlineStr">
        <is>
          <t>Agency retainer uplift</t>
        </is>
      </c>
      <c r="E18" s="19" t="inlineStr">
        <is>
          <t>Nice-to-Have</t>
        </is>
      </c>
      <c r="F18" s="12" t="n">
        <v>800</v>
      </c>
      <c r="G18" s="30" t="inlineStr">
        <is>
          <t>N</t>
        </is>
      </c>
      <c r="H18" s="22">
        <f>IF(G18="Y",F18,0)</f>
        <v/>
      </c>
      <c r="I18" s="17" t="inlineStr">
        <is>
          <t>Renegotiate</t>
        </is>
      </c>
    </row>
    <row r="19">
      <c r="B19" s="21" t="inlineStr">
        <is>
          <t>DP-13</t>
        </is>
      </c>
      <c r="C19" s="18" t="inlineStr">
        <is>
          <t>CC-310</t>
        </is>
      </c>
      <c r="D19" s="29" t="inlineStr">
        <is>
          <t>Base DC ops + contracted freight</t>
        </is>
      </c>
      <c r="E19" s="16" t="inlineStr">
        <is>
          <t>Must-Have</t>
        </is>
      </c>
      <c r="F19" s="12" t="n">
        <v>7200</v>
      </c>
      <c r="G19" s="30" t="inlineStr">
        <is>
          <t>Y</t>
        </is>
      </c>
      <c r="H19" s="22">
        <f>IF(G19="Y",F19,0)</f>
        <v/>
      </c>
      <c r="I19" s="17" t="inlineStr">
        <is>
          <t>Service levels</t>
        </is>
      </c>
    </row>
    <row r="20">
      <c r="B20" s="21" t="inlineStr">
        <is>
          <t>DP-14</t>
        </is>
      </c>
      <c r="C20" s="18" t="inlineStr">
        <is>
          <t>CC-310</t>
        </is>
      </c>
      <c r="D20" s="29" t="inlineStr">
        <is>
          <t>Surge capacity / peak overtime</t>
        </is>
      </c>
      <c r="E20" s="19" t="inlineStr">
        <is>
          <t>Should-Have</t>
        </is>
      </c>
      <c r="F20" s="12" t="n">
        <v>600</v>
      </c>
      <c r="G20" s="30" t="inlineStr">
        <is>
          <t>N</t>
        </is>
      </c>
      <c r="H20" s="22">
        <f>IF(G20="Y",F20,0)</f>
        <v/>
      </c>
      <c r="I20" s="17" t="inlineStr">
        <is>
          <t>Absorb in base</t>
        </is>
      </c>
    </row>
    <row r="21">
      <c r="B21" s="21" t="inlineStr">
        <is>
          <t>DP-15</t>
        </is>
      </c>
      <c r="C21" s="18" t="inlineStr">
        <is>
          <t>CC-310</t>
        </is>
      </c>
      <c r="D21" s="29" t="inlineStr">
        <is>
          <t>Green fleet pilot</t>
        </is>
      </c>
      <c r="E21" s="19" t="inlineStr">
        <is>
          <t>Nice-to-Have</t>
        </is>
      </c>
      <c r="F21" s="12" t="n">
        <v>300</v>
      </c>
      <c r="G21" s="30" t="inlineStr">
        <is>
          <t>N</t>
        </is>
      </c>
      <c r="H21" s="22">
        <f>IF(G21="Y",F21,0)</f>
        <v/>
      </c>
      <c r="I21" s="17" t="inlineStr">
        <is>
          <t>Defer</t>
        </is>
      </c>
    </row>
    <row r="22">
      <c r="B22" s="21" t="inlineStr">
        <is>
          <t>DP-16</t>
        </is>
      </c>
      <c r="C22" s="18" t="inlineStr">
        <is>
          <t>CC-410</t>
        </is>
      </c>
      <c r="D22" s="29" t="inlineStr">
        <is>
          <t>QA lab + regulatory compliance</t>
        </is>
      </c>
      <c r="E22" s="16" t="inlineStr">
        <is>
          <t>Must-Have</t>
        </is>
      </c>
      <c r="F22" s="12" t="n">
        <v>4000</v>
      </c>
      <c r="G22" s="30" t="inlineStr">
        <is>
          <t>Y</t>
        </is>
      </c>
      <c r="H22" s="22">
        <f>IF(G22="Y",F22,0)</f>
        <v/>
      </c>
      <c r="I22" s="17" t="inlineStr">
        <is>
          <t>Food safety</t>
        </is>
      </c>
    </row>
    <row r="23">
      <c r="B23" s="21" t="inlineStr">
        <is>
          <t>DP-17</t>
        </is>
      </c>
      <c r="C23" s="18" t="inlineStr">
        <is>
          <t>CC-410</t>
        </is>
      </c>
      <c r="D23" s="29" t="inlineStr">
        <is>
          <t>Extra 3rd-party audits</t>
        </is>
      </c>
      <c r="E23" s="19" t="inlineStr">
        <is>
          <t>Should-Have</t>
        </is>
      </c>
      <c r="F23" s="12" t="n">
        <v>350</v>
      </c>
      <c r="G23" s="30" t="inlineStr">
        <is>
          <t>Y</t>
        </is>
      </c>
      <c r="H23" s="22">
        <f>IF(G23="Y",F23,0)</f>
        <v/>
      </c>
      <c r="I23" s="17" t="inlineStr">
        <is>
          <t>Customer req</t>
        </is>
      </c>
    </row>
    <row r="24">
      <c r="B24" s="21" t="inlineStr">
        <is>
          <t>DP-18</t>
        </is>
      </c>
      <c r="C24" s="18" t="inlineStr">
        <is>
          <t>CC-410</t>
        </is>
      </c>
      <c r="D24" s="29" t="inlineStr">
        <is>
          <t>New rapid-test equipment</t>
        </is>
      </c>
      <c r="E24" s="19" t="inlineStr">
        <is>
          <t>Nice-to-Have</t>
        </is>
      </c>
      <c r="F24" s="12" t="n">
        <v>150</v>
      </c>
      <c r="G24" s="30" t="inlineStr">
        <is>
          <t>N</t>
        </is>
      </c>
      <c r="H24" s="22">
        <f>IF(G24="Y",F24,0)</f>
        <v/>
      </c>
      <c r="I24" s="17" t="inlineStr">
        <is>
          <t>Capex alt</t>
        </is>
      </c>
    </row>
    <row r="25">
      <c r="B25" s="21" t="inlineStr">
        <is>
          <t>DP-19</t>
        </is>
      </c>
      <c r="C25" s="18" t="inlineStr">
        <is>
          <t>CC-510</t>
        </is>
      </c>
      <c r="D25" s="29" t="inlineStr">
        <is>
          <t>Core FP&amp;A / controllership</t>
        </is>
      </c>
      <c r="E25" s="16" t="inlineStr">
        <is>
          <t>Must-Have</t>
        </is>
      </c>
      <c r="F25" s="12" t="n">
        <v>8200</v>
      </c>
      <c r="G25" s="30" t="inlineStr">
        <is>
          <t>Y</t>
        </is>
      </c>
      <c r="H25" s="22">
        <f>IF(G25="Y",F25,0)</f>
        <v/>
      </c>
      <c r="I25" s="17" t="inlineStr">
        <is>
          <t>Controls</t>
        </is>
      </c>
    </row>
    <row r="26">
      <c r="B26" s="21" t="inlineStr">
        <is>
          <t>DP-20</t>
        </is>
      </c>
      <c r="C26" s="18" t="inlineStr">
        <is>
          <t>CC-510</t>
        </is>
      </c>
      <c r="D26" s="29" t="inlineStr">
        <is>
          <t>Planning system enhancement</t>
        </is>
      </c>
      <c r="E26" s="19" t="inlineStr">
        <is>
          <t>Should-Have</t>
        </is>
      </c>
      <c r="F26" s="12" t="n">
        <v>700</v>
      </c>
      <c r="G26" s="30" t="inlineStr">
        <is>
          <t>N</t>
        </is>
      </c>
      <c r="H26" s="22">
        <f>IF(G26="Y",F26,0)</f>
        <v/>
      </c>
      <c r="I26" s="17" t="inlineStr">
        <is>
          <t>Defer 1 yr</t>
        </is>
      </c>
    </row>
    <row r="27">
      <c r="B27" s="21" t="inlineStr">
        <is>
          <t>DP-21</t>
        </is>
      </c>
      <c r="C27" s="18" t="inlineStr">
        <is>
          <t>CC-510</t>
        </is>
      </c>
      <c r="D27" s="29" t="inlineStr">
        <is>
          <t>External benchmarking study</t>
        </is>
      </c>
      <c r="E27" s="19" t="inlineStr">
        <is>
          <t>Nice-to-Have</t>
        </is>
      </c>
      <c r="F27" s="12" t="n">
        <v>300</v>
      </c>
      <c r="G27" s="30" t="inlineStr">
        <is>
          <t>N</t>
        </is>
      </c>
      <c r="H27" s="22">
        <f>IF(G27="Y",F27,0)</f>
        <v/>
      </c>
      <c r="I27" s="17" t="inlineStr">
        <is>
          <t>Cut</t>
        </is>
      </c>
    </row>
    <row r="28">
      <c r="B28" s="21" t="inlineStr">
        <is>
          <t>DP-22</t>
        </is>
      </c>
      <c r="C28" s="18" t="inlineStr">
        <is>
          <t>CC-520</t>
        </is>
      </c>
      <c r="D28" s="29" t="inlineStr">
        <is>
          <t>Core HR ops + benefits admin</t>
        </is>
      </c>
      <c r="E28" s="16" t="inlineStr">
        <is>
          <t>Must-Have</t>
        </is>
      </c>
      <c r="F28" s="12" t="n">
        <v>4800</v>
      </c>
      <c r="G28" s="30" t="inlineStr">
        <is>
          <t>Y</t>
        </is>
      </c>
      <c r="H28" s="22">
        <f>IF(G28="Y",F28,0)</f>
        <v/>
      </c>
      <c r="I28" s="17" t="inlineStr">
        <is>
          <t>People ops</t>
        </is>
      </c>
    </row>
    <row r="29">
      <c r="B29" s="21" t="inlineStr">
        <is>
          <t>DP-23</t>
        </is>
      </c>
      <c r="C29" s="18" t="inlineStr">
        <is>
          <t>CC-520</t>
        </is>
      </c>
      <c r="D29" s="29" t="inlineStr">
        <is>
          <t>Leadership development cohort</t>
        </is>
      </c>
      <c r="E29" s="19" t="inlineStr">
        <is>
          <t>Should-Have</t>
        </is>
      </c>
      <c r="F29" s="12" t="n">
        <v>700</v>
      </c>
      <c r="G29" s="30" t="inlineStr">
        <is>
          <t>Y</t>
        </is>
      </c>
      <c r="H29" s="22">
        <f>IF(G29="Y",F29,0)</f>
        <v/>
      </c>
      <c r="I29" s="17" t="inlineStr">
        <is>
          <t>Retention</t>
        </is>
      </c>
    </row>
    <row r="30">
      <c r="B30" s="21" t="inlineStr">
        <is>
          <t>DP-24</t>
        </is>
      </c>
      <c r="C30" s="18" t="inlineStr">
        <is>
          <t>CC-520</t>
        </is>
      </c>
      <c r="D30" s="29" t="inlineStr">
        <is>
          <t>Offsite culture summit</t>
        </is>
      </c>
      <c r="E30" s="19" t="inlineStr">
        <is>
          <t>Nice-to-Have</t>
        </is>
      </c>
      <c r="F30" s="12" t="n">
        <v>300</v>
      </c>
      <c r="G30" s="30" t="inlineStr">
        <is>
          <t>N</t>
        </is>
      </c>
      <c r="H30" s="22">
        <f>IF(G30="Y",F30,0)</f>
        <v/>
      </c>
      <c r="I30" s="17" t="inlineStr">
        <is>
          <t>Cut</t>
        </is>
      </c>
    </row>
    <row r="31">
      <c r="B31" s="21" t="inlineStr">
        <is>
          <t>DP-25</t>
        </is>
      </c>
      <c r="C31" s="18" t="inlineStr">
        <is>
          <t>CC-530</t>
        </is>
      </c>
      <c r="D31" s="29" t="inlineStr">
        <is>
          <t>Run-the-business IT + cyber</t>
        </is>
      </c>
      <c r="E31" s="16" t="inlineStr">
        <is>
          <t>Must-Have</t>
        </is>
      </c>
      <c r="F31" s="12" t="n">
        <v>9800</v>
      </c>
      <c r="G31" s="30" t="inlineStr">
        <is>
          <t>Y</t>
        </is>
      </c>
      <c r="H31" s="22">
        <f>IF(G31="Y",F31,0)</f>
        <v/>
      </c>
      <c r="I31" s="17" t="inlineStr">
        <is>
          <t>Security</t>
        </is>
      </c>
    </row>
    <row r="32">
      <c r="B32" s="21" t="inlineStr">
        <is>
          <t>DP-26</t>
        </is>
      </c>
      <c r="C32" s="18" t="inlineStr">
        <is>
          <t>CC-530</t>
        </is>
      </c>
      <c r="D32" s="29" t="inlineStr">
        <is>
          <t>ERP module upgrade phase 1</t>
        </is>
      </c>
      <c r="E32" s="19" t="inlineStr">
        <is>
          <t>Should-Have</t>
        </is>
      </c>
      <c r="F32" s="12" t="n">
        <v>2200</v>
      </c>
      <c r="G32" s="30" t="inlineStr">
        <is>
          <t>Y</t>
        </is>
      </c>
      <c r="H32" s="22">
        <f>IF(G32="Y",F32,0)</f>
        <v/>
      </c>
      <c r="I32" s="17" t="inlineStr">
        <is>
          <t>Efficiency</t>
        </is>
      </c>
    </row>
    <row r="33">
      <c r="B33" s="21" t="inlineStr">
        <is>
          <t>DP-27</t>
        </is>
      </c>
      <c r="C33" s="18" t="inlineStr">
        <is>
          <t>CC-530</t>
        </is>
      </c>
      <c r="D33" s="29" t="inlineStr">
        <is>
          <t>AI assistant licenses (pilot)</t>
        </is>
      </c>
      <c r="E33" s="19" t="inlineStr">
        <is>
          <t>Nice-to-Have</t>
        </is>
      </c>
      <c r="F33" s="12" t="n">
        <v>800</v>
      </c>
      <c r="G33" s="30" t="inlineStr">
        <is>
          <t>N</t>
        </is>
      </c>
      <c r="H33" s="22">
        <f>IF(G33="Y",F33,0)</f>
        <v/>
      </c>
      <c r="I33" s="17" t="inlineStr">
        <is>
          <t>Pilot later</t>
        </is>
      </c>
    </row>
    <row r="34">
      <c r="B34" s="21" t="inlineStr">
        <is>
          <t>DP-28</t>
        </is>
      </c>
      <c r="C34" s="18" t="inlineStr">
        <is>
          <t>CC-610</t>
        </is>
      </c>
      <c r="D34" s="29" t="inlineStr">
        <is>
          <t>Core R&amp;D pipeline (must projects)</t>
        </is>
      </c>
      <c r="E34" s="16" t="inlineStr">
        <is>
          <t>Must-Have</t>
        </is>
      </c>
      <c r="F34" s="12" t="n">
        <v>14200</v>
      </c>
      <c r="G34" s="30" t="inlineStr">
        <is>
          <t>Y</t>
        </is>
      </c>
      <c r="H34" s="22">
        <f>IF(G34="Y",F34,0)</f>
        <v/>
      </c>
      <c r="I34" s="17" t="inlineStr">
        <is>
          <t>Pipeline</t>
        </is>
      </c>
    </row>
    <row r="35">
      <c r="B35" s="21" t="inlineStr">
        <is>
          <t>DP-29</t>
        </is>
      </c>
      <c r="C35" s="18" t="inlineStr">
        <is>
          <t>CC-610</t>
        </is>
      </c>
      <c r="D35" s="29" t="inlineStr">
        <is>
          <t>Adjacent category exploration</t>
        </is>
      </c>
      <c r="E35" s="19" t="inlineStr">
        <is>
          <t>Should-Have</t>
        </is>
      </c>
      <c r="F35" s="12" t="n">
        <v>3200</v>
      </c>
      <c r="G35" s="30" t="inlineStr">
        <is>
          <t>N</t>
        </is>
      </c>
      <c r="H35" s="22">
        <f>IF(G35="Y",F35,0)</f>
        <v/>
      </c>
      <c r="I35" s="17" t="inlineStr">
        <is>
          <t>Focus core</t>
        </is>
      </c>
    </row>
    <row r="36">
      <c r="B36" s="21" t="inlineStr">
        <is>
          <t>DP-30</t>
        </is>
      </c>
      <c r="C36" s="18" t="inlineStr">
        <is>
          <t>CC-610</t>
        </is>
      </c>
      <c r="D36" s="29" t="inlineStr">
        <is>
          <t>University research grants</t>
        </is>
      </c>
      <c r="E36" s="19" t="inlineStr">
        <is>
          <t>Nice-to-Have</t>
        </is>
      </c>
      <c r="F36" s="12" t="n">
        <v>1700</v>
      </c>
      <c r="G36" s="30" t="inlineStr">
        <is>
          <t>N</t>
        </is>
      </c>
      <c r="H36" s="22">
        <f>IF(G36="Y",F36,0)</f>
        <v/>
      </c>
      <c r="I36" s="17" t="inlineStr">
        <is>
          <t>Cut</t>
        </is>
      </c>
    </row>
    <row r="37">
      <c r="B37" s="21" t="inlineStr">
        <is>
          <t>DP-31</t>
        </is>
      </c>
      <c r="C37" s="18" t="inlineStr">
        <is>
          <t>CC-710</t>
        </is>
      </c>
      <c r="D37" s="29" t="inlineStr">
        <is>
          <t>Legal, insurance, compliance base</t>
        </is>
      </c>
      <c r="E37" s="16" t="inlineStr">
        <is>
          <t>Must-Have</t>
        </is>
      </c>
      <c r="F37" s="12" t="n">
        <v>4800</v>
      </c>
      <c r="G37" s="30" t="inlineStr">
        <is>
          <t>Y</t>
        </is>
      </c>
      <c r="H37" s="22">
        <f>IF(G37="Y",F37,0)</f>
        <v/>
      </c>
      <c r="I37" s="17" t="inlineStr">
        <is>
          <t>Risk</t>
        </is>
      </c>
    </row>
    <row r="38">
      <c r="B38" s="21" t="inlineStr">
        <is>
          <t>DP-32</t>
        </is>
      </c>
      <c r="C38" s="18" t="inlineStr">
        <is>
          <t>CC-710</t>
        </is>
      </c>
      <c r="D38" s="29" t="inlineStr">
        <is>
          <t>M&amp;A diligence retainer</t>
        </is>
      </c>
      <c r="E38" s="19" t="inlineStr">
        <is>
          <t>Should-Have</t>
        </is>
      </c>
      <c r="F38" s="12" t="n">
        <v>200</v>
      </c>
      <c r="G38" s="30" t="inlineStr">
        <is>
          <t>N</t>
        </is>
      </c>
      <c r="H38" s="22">
        <f>IF(G38="Y",F38,0)</f>
        <v/>
      </c>
      <c r="I38" s="17" t="inlineStr">
        <is>
          <t>As-needed</t>
        </is>
      </c>
    </row>
    <row r="39">
      <c r="B39" s="21" t="inlineStr">
        <is>
          <t>DP-33</t>
        </is>
      </c>
      <c r="C39" s="18" t="inlineStr">
        <is>
          <t>CC-710</t>
        </is>
      </c>
      <c r="D39" s="29" t="inlineStr">
        <is>
          <t>Board offsite production</t>
        </is>
      </c>
      <c r="E39" s="19" t="inlineStr">
        <is>
          <t>Nice-to-Have</t>
        </is>
      </c>
      <c r="F39" s="12" t="n">
        <v>100</v>
      </c>
      <c r="G39" s="30" t="inlineStr">
        <is>
          <t>N</t>
        </is>
      </c>
      <c r="H39" s="22">
        <f>IF(G39="Y",F39,0)</f>
        <v/>
      </c>
      <c r="I39" s="17" t="inlineStr">
        <is>
          <t>Cut</t>
        </is>
      </c>
    </row>
    <row r="40">
      <c r="B40" s="21" t="inlineStr">
        <is>
          <t>DP-34</t>
        </is>
      </c>
      <c r="C40" s="18" t="inlineStr">
        <is>
          <t>CC-810</t>
        </is>
      </c>
      <c r="D40" s="29" t="inlineStr">
        <is>
          <t>Lease, utilities, security base</t>
        </is>
      </c>
      <c r="E40" s="16" t="inlineStr">
        <is>
          <t>Must-Have</t>
        </is>
      </c>
      <c r="F40" s="12" t="n">
        <v>3400</v>
      </c>
      <c r="G40" s="30" t="inlineStr">
        <is>
          <t>Y</t>
        </is>
      </c>
      <c r="H40" s="22">
        <f>IF(G40="Y",F40,0)</f>
        <v/>
      </c>
      <c r="I40" s="17" t="inlineStr">
        <is>
          <t>Facilities</t>
        </is>
      </c>
    </row>
    <row r="41">
      <c r="B41" s="21" t="inlineStr">
        <is>
          <t>DP-35</t>
        </is>
      </c>
      <c r="C41" s="18" t="inlineStr">
        <is>
          <t>CC-810</t>
        </is>
      </c>
      <c r="D41" s="29" t="inlineStr">
        <is>
          <t>HQ refresh / furniture</t>
        </is>
      </c>
      <c r="E41" s="19" t="inlineStr">
        <is>
          <t>Nice-to-Have</t>
        </is>
      </c>
      <c r="F41" s="12" t="n">
        <v>300</v>
      </c>
      <c r="G41" s="30" t="inlineStr">
        <is>
          <t>N</t>
        </is>
      </c>
      <c r="H41" s="22">
        <f>IF(G41="Y",F41,0)</f>
        <v/>
      </c>
      <c r="I41" s="17" t="inlineStr">
        <is>
          <t>Defer</t>
        </is>
      </c>
    </row>
    <row r="42">
      <c r="B42" s="26" t="inlineStr">
        <is>
          <t>TOTAL</t>
        </is>
      </c>
      <c r="C42" s="27" t="n"/>
      <c r="D42" s="27" t="n"/>
      <c r="E42" s="27" t="n"/>
      <c r="F42" s="20">
        <f>SUM(F7:F41)</f>
        <v/>
      </c>
      <c r="G42" s="27" t="n"/>
      <c r="H42" s="20">
        <f>SUM(H7:H41)</f>
        <v/>
      </c>
      <c r="I42" s="31" t="inlineStr">
        <is>
          <t>Ask vs funded</t>
        </is>
      </c>
    </row>
    <row r="44">
      <c r="B44" s="8" t="inlineStr">
        <is>
          <t>Tier rollup</t>
        </is>
      </c>
      <c r="C44" s="9" t="n"/>
      <c r="D44" s="9" t="n"/>
      <c r="E44" s="9" t="n"/>
    </row>
    <row r="45">
      <c r="B45" s="15" t="inlineStr">
        <is>
          <t>Tier</t>
        </is>
      </c>
      <c r="C45" s="15" t="inlineStr">
        <is>
          <t>Ask $</t>
        </is>
      </c>
      <c r="D45" s="15" t="inlineStr">
        <is>
          <t>Funded $</t>
        </is>
      </c>
      <c r="E45" s="15" t="inlineStr">
        <is>
          <t>Cut / deferred $</t>
        </is>
      </c>
      <c r="F45" s="15" t="inlineStr">
        <is>
          <t>% funded</t>
        </is>
      </c>
    </row>
    <row r="46">
      <c r="B46" s="16" t="inlineStr">
        <is>
          <t>Must-Have</t>
        </is>
      </c>
      <c r="C46" s="22">
        <f>SUMIF($E$7:$E$41,B46,$F$7:$F$41)</f>
        <v/>
      </c>
      <c r="D46" s="22">
        <f>SUMIF($E$7:$E$41,B46,$H$7:$H$41)</f>
        <v/>
      </c>
      <c r="E46" s="22">
        <f>C46-D46</f>
        <v/>
      </c>
      <c r="F46" s="23">
        <f>IF(C46=0,0,D46/C46)</f>
        <v/>
      </c>
    </row>
    <row r="47">
      <c r="B47" s="19" t="inlineStr">
        <is>
          <t>Should-Have</t>
        </is>
      </c>
      <c r="C47" s="22">
        <f>SUMIF($E$7:$E$41,B47,$F$7:$F$41)</f>
        <v/>
      </c>
      <c r="D47" s="22">
        <f>SUMIF($E$7:$E$41,B47,$H$7:$H$41)</f>
        <v/>
      </c>
      <c r="E47" s="22">
        <f>C47-D47</f>
        <v/>
      </c>
      <c r="F47" s="23">
        <f>IF(C47=0,0,D47/C47)</f>
        <v/>
      </c>
    </row>
    <row r="48">
      <c r="B48" s="19" t="inlineStr">
        <is>
          <t>Nice-to-Have</t>
        </is>
      </c>
      <c r="C48" s="22">
        <f>SUMIF($E$7:$E$41,B48,$F$7:$F$41)</f>
        <v/>
      </c>
      <c r="D48" s="22">
        <f>SUMIF($E$7:$E$41,B48,$H$7:$H$41)</f>
        <v/>
      </c>
      <c r="E48" s="22">
        <f>C48-D48</f>
        <v/>
      </c>
      <c r="F48" s="23">
        <f>IF(C48=0,0,D48/C48)</f>
        <v/>
      </c>
    </row>
    <row r="50">
      <c r="B50" s="18" t="inlineStr">
        <is>
          <t>Cut / deferred total</t>
        </is>
      </c>
      <c r="C50" s="20">
        <f>F42-H42</f>
        <v/>
      </c>
    </row>
    <row r="52">
      <c r="B52" s="3" t="inlineStr">
        <is>
          <t>Package rows 7–41. Change Fund Y/N to rebuild recommended OpEx instantly.</t>
        </is>
      </c>
    </row>
  </sheetData>
  <dataValidations count="1">
    <dataValidation sqref="G7 G8 G9 G10 G11 G12 G13 G14 G15 G16 G17 G18 G19 G20 G21 G22 G23 G24 G25 G26 G27 G28 G29 G30 G31 G32 G33 G34 G35 G36 G37 G38 G39 G40 G41" showDropDown="0" showInputMessage="0" showErrorMessage="0" allowBlank="0" type="list">
      <formula1>"Y,N"</formula1>
    </dataValidation>
  </dataValidations>
  <pageMargins left="0.75" right="0.75" top="1" bottom="1" header="0.5" footer="0.5"/>
  <pageSetup orientation="landscape" paperSize="3" fitToHeight="0" fitToWidth="1"/>
  <headerFooter>
    <oddHeader/>
    <oddFooter>&amp;LNorthline Consumer Products  |  fictional sample  |  $000s&amp;RPage &amp;P of &amp;N</oddFooter>
    <evenHeader/>
    <evenFooter/>
    <firstHeader/>
    <firstFooter/>
  </headerFooter>
</worksheet>
</file>

<file path=xl/worksheets/sheet5.xml><?xml version="1.0" encoding="utf-8"?>
<worksheet xmlns="http://schemas.openxmlformats.org/spreadsheetml/2006/main">
  <sheetPr>
    <tabColor rgb="00ED7D31"/>
    <outlinePr summaryBelow="1" summaryRight="1"/>
    <pageSetUpPr fitToPage="1"/>
  </sheetPr>
  <dimension ref="B2:E3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 customWidth="1" min="1" max="1"/>
    <col width="36" customWidth="1" min="2" max="2"/>
    <col width="14" customWidth="1" min="3" max="3"/>
    <col width="14" customWidth="1" min="4" max="4"/>
    <col width="40" customWidth="1" min="5" max="5"/>
  </cols>
  <sheetData>
    <row r="2">
      <c r="B2" s="1" t="inlineStr">
        <is>
          <t>Savings bridge</t>
        </is>
      </c>
    </row>
    <row r="3">
      <c r="B3" s="3" t="inlineStr">
        <is>
          <t>Prior → Ask → ZBB cuts → Recommended budget, vs CFO target.</t>
        </is>
      </c>
    </row>
    <row r="5">
      <c r="B5" s="8" t="inlineStr">
        <is>
          <t>OpEx walk ($000s)</t>
        </is>
      </c>
      <c r="C5" s="9" t="n"/>
      <c r="D5" s="9" t="n"/>
    </row>
    <row r="6">
      <c r="B6" s="15" t="inlineStr">
        <is>
          <t>Step</t>
        </is>
      </c>
      <c r="C6" s="15" t="inlineStr">
        <is>
          <t>Amount</t>
        </is>
      </c>
      <c r="D6" s="15" t="inlineStr">
        <is>
          <t>Running</t>
        </is>
      </c>
      <c r="E6" s="15" t="inlineStr">
        <is>
          <t>Notes</t>
        </is>
      </c>
    </row>
    <row r="7">
      <c r="B7" s="18" t="inlineStr">
        <is>
          <t>Prior-year OpEx</t>
        </is>
      </c>
      <c r="C7" s="20">
        <f>02_Cost_Centers!E20</f>
        <v/>
      </c>
      <c r="D7" s="20">
        <f>C7</f>
        <v/>
      </c>
      <c r="E7" s="17" t="inlineStr">
        <is>
          <t>Starting point (FY25 actuals)</t>
        </is>
      </c>
    </row>
    <row r="8">
      <c r="B8" s="18" t="inlineStr">
        <is>
          <t>Gross ask uplift</t>
        </is>
      </c>
      <c r="C8" s="22">
        <f>02_Cost_Centers!G20</f>
        <v/>
      </c>
      <c r="D8" s="22">
        <f>D7+C8</f>
        <v/>
      </c>
      <c r="E8" s="17" t="inlineStr">
        <is>
          <t>Cost-center requests − prior</t>
        </is>
      </c>
    </row>
    <row r="9">
      <c r="B9" s="18" t="inlineStr">
        <is>
          <t>FY26 ask (pre-ZBB)</t>
        </is>
      </c>
      <c r="C9" s="20">
        <f>02_Cost_Centers!F20</f>
        <v/>
      </c>
      <c r="D9" s="20">
        <f>D8</f>
        <v/>
      </c>
      <c r="E9" s="17" t="inlineStr">
        <is>
          <t>Should equal prior + uplift</t>
        </is>
      </c>
    </row>
    <row r="10">
      <c r="B10" s="18" t="inlineStr">
        <is>
          <t>ZBB cuts — Must-Have deferred</t>
        </is>
      </c>
      <c r="C10" s="22">
        <f>-03_Decision_Packages!E46</f>
        <v/>
      </c>
      <c r="D10" s="22">
        <f>D9+C10</f>
        <v/>
      </c>
      <c r="E10" s="17" t="inlineStr">
        <is>
          <t>Should be ~0 under policy</t>
        </is>
      </c>
    </row>
    <row r="11">
      <c r="B11" s="18" t="inlineStr">
        <is>
          <t>ZBB cuts — Should-Have deferred</t>
        </is>
      </c>
      <c r="C11" s="22">
        <f>-03_Decision_Packages!E47</f>
        <v/>
      </c>
      <c r="D11" s="22">
        <f>D10+C11</f>
        <v/>
      </c>
      <c r="E11" s="17" t="inlineStr">
        <is>
          <t>Case-by-case deferrals</t>
        </is>
      </c>
    </row>
    <row r="12">
      <c r="B12" s="18" t="inlineStr">
        <is>
          <t>ZBB cuts — Nice-to-Have deferred</t>
        </is>
      </c>
      <c r="C12" s="22">
        <f>-03_Decision_Packages!E48</f>
        <v/>
      </c>
      <c r="D12" s="22">
        <f>D11+C12</f>
        <v/>
      </c>
      <c r="E12" s="17" t="inlineStr">
        <is>
          <t>Discretionary deferrals</t>
        </is>
      </c>
    </row>
    <row r="13">
      <c r="B13" s="18" t="inlineStr">
        <is>
          <t>Recommended (funded packages)</t>
        </is>
      </c>
      <c r="C13" s="20">
        <f>03_Decision_Packages!H42</f>
        <v/>
      </c>
      <c r="D13" s="20">
        <f>D12</f>
        <v/>
      </c>
      <c r="E13" s="17" t="inlineStr">
        <is>
          <t>Running should ≈ funded total</t>
        </is>
      </c>
    </row>
    <row r="14">
      <c r="B14" s="18" t="inlineStr">
        <is>
          <t>Bridge check (should be ~0)</t>
        </is>
      </c>
      <c r="C14" s="20">
        <f>D13-C13</f>
        <v/>
      </c>
    </row>
    <row r="16">
      <c r="B16" s="8" t="inlineStr">
        <is>
          <t>Target reconciliation</t>
        </is>
      </c>
      <c r="C16" s="9" t="n"/>
      <c r="D16" s="9" t="n"/>
    </row>
    <row r="17">
      <c r="B17" s="18" t="inlineStr">
        <is>
          <t>CFO OpEx target</t>
        </is>
      </c>
      <c r="C17" s="20">
        <f>01_Assumptions!C8</f>
        <v/>
      </c>
    </row>
    <row r="18">
      <c r="B18" s="18" t="inlineStr">
        <is>
          <t>Recommended vs target</t>
        </is>
      </c>
      <c r="C18" s="20">
        <f>C13-C17</f>
        <v/>
      </c>
      <c r="D18" s="32">
        <f>IF(C18&gt;0,"Over target — more cuts needed","At / under target")</f>
        <v/>
      </c>
    </row>
    <row r="19">
      <c r="B19" s="18" t="inlineStr">
        <is>
          <t>Total ZBB savings vs ask</t>
        </is>
      </c>
      <c r="C19" s="20">
        <f>03_Decision_Packages!C50</f>
        <v/>
      </c>
    </row>
    <row r="20">
      <c r="B20" s="18" t="inlineStr">
        <is>
          <t>Savings vs prior</t>
        </is>
      </c>
      <c r="C20" s="20">
        <f>C7-C13</f>
        <v/>
      </c>
      <c r="D20" s="13" t="inlineStr">
        <is>
          <t>Positive = OpEx down vs prior</t>
        </is>
      </c>
    </row>
    <row r="22">
      <c r="B22" s="8" t="inlineStr">
        <is>
          <t>Chart data — bridge steps</t>
        </is>
      </c>
      <c r="C22" s="9" t="n"/>
    </row>
    <row r="23">
      <c r="B23" s="15" t="inlineStr">
        <is>
          <t>Step</t>
        </is>
      </c>
      <c r="C23" s="15" t="inlineStr">
        <is>
          <t>Value</t>
        </is>
      </c>
    </row>
    <row r="24">
      <c r="B24" s="18" t="inlineStr">
        <is>
          <t>Prior</t>
        </is>
      </c>
      <c r="C24" s="22">
        <f>C7</f>
        <v/>
      </c>
    </row>
    <row r="25">
      <c r="B25" s="18" t="inlineStr">
        <is>
          <t>Ask uplift</t>
        </is>
      </c>
      <c r="C25" s="22">
        <f>C8</f>
        <v/>
      </c>
    </row>
    <row r="26">
      <c r="B26" s="18" t="inlineStr">
        <is>
          <t>Must cuts</t>
        </is>
      </c>
      <c r="C26" s="22">
        <f>C10</f>
        <v/>
      </c>
    </row>
    <row r="27">
      <c r="B27" s="18" t="inlineStr">
        <is>
          <t>Should cuts</t>
        </is>
      </c>
      <c r="C27" s="22">
        <f>C11</f>
        <v/>
      </c>
    </row>
    <row r="28">
      <c r="B28" s="18" t="inlineStr">
        <is>
          <t>Nice cuts</t>
        </is>
      </c>
      <c r="C28" s="22">
        <f>C12</f>
        <v/>
      </c>
    </row>
    <row r="29">
      <c r="B29" s="18" t="inlineStr">
        <is>
          <t>Recommended</t>
        </is>
      </c>
      <c r="C29" s="22">
        <f>C13</f>
        <v/>
      </c>
    </row>
    <row r="30">
      <c r="B30" s="18" t="inlineStr">
        <is>
          <t>Target</t>
        </is>
      </c>
      <c r="C30" s="22">
        <f>C17</f>
        <v/>
      </c>
    </row>
  </sheetData>
  <pageMargins left="0.75" right="0.75" top="1" bottom="1" header="0.5" footer="0.5"/>
  <pageSetup orientation="landscape" paperSize="3" fitToHeight="0" fitToWidth="1"/>
  <headerFooter>
    <oddHeader/>
    <oddFooter>&amp;LNorthline Consumer Products  |  fictional sample  |  $000s&amp;RPage &amp;P of &amp;N</oddFooter>
    <evenHeader/>
    <evenFooter/>
    <firstHeader/>
    <firstFooter/>
  </headerFooter>
</worksheet>
</file>

<file path=xl/worksheets/sheet6.xml><?xml version="1.0" encoding="utf-8"?>
<worksheet xmlns="http://schemas.openxmlformats.org/spreadsheetml/2006/main">
  <sheetPr>
    <tabColor rgb="007030A0"/>
    <outlinePr summaryBelow="1" summaryRight="1"/>
    <pageSetUpPr fitToPage="1"/>
  </sheetPr>
  <dimension ref="B2:G40"/>
  <sheetViews>
    <sheetView showGridLines="0" workbookViewId="0">
      <selection activeCell="A1" sqref="A1"/>
    </sheetView>
  </sheetViews>
  <sheetFormatPr baseColWidth="8" defaultRowHeight="15"/>
  <cols>
    <col width="4" customWidth="1" min="1" max="1"/>
    <col width="22"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2">
      <c r="B2" s="1" t="inlineStr">
        <is>
          <t>Dashboard</t>
        </is>
      </c>
    </row>
    <row r="3">
      <c r="B3" s="3" t="inlineStr">
        <is>
          <t>Ask vs target, tier mix, and ZBB outcome for the CFO review.</t>
        </is>
      </c>
    </row>
    <row r="5">
      <c r="B5" s="8" t="inlineStr">
        <is>
          <t>Headline tiles ($000s)</t>
        </is>
      </c>
      <c r="C5" s="9" t="n"/>
      <c r="D5" s="9" t="n"/>
      <c r="E5" s="8" t="inlineStr">
        <is>
          <t>Tier mix (funded $)</t>
        </is>
      </c>
      <c r="F5" s="9" t="n"/>
      <c r="G5" s="9" t="n"/>
    </row>
    <row r="6">
      <c r="B6" s="33" t="inlineStr">
        <is>
          <t>Prior OpEx</t>
        </is>
      </c>
      <c r="C6" s="34">
        <f>02_Cost_Centers!E20</f>
        <v/>
      </c>
      <c r="E6" s="15" t="inlineStr">
        <is>
          <t>Tier</t>
        </is>
      </c>
      <c r="F6" s="15" t="inlineStr">
        <is>
          <t>Funded $</t>
        </is>
      </c>
      <c r="G6" s="15" t="inlineStr">
        <is>
          <t>% of funded</t>
        </is>
      </c>
    </row>
    <row r="7">
      <c r="B7" s="33" t="inlineStr">
        <is>
          <t>FY26 ask</t>
        </is>
      </c>
      <c r="C7" s="34">
        <f>02_Cost_Centers!F20</f>
        <v/>
      </c>
      <c r="E7" s="18" t="inlineStr">
        <is>
          <t>Must-Have</t>
        </is>
      </c>
      <c r="F7" s="22">
        <f>03_Decision_Packages!D46</f>
        <v/>
      </c>
      <c r="G7" s="23">
        <f>IF($C$8=0,0,F7/$C$8)</f>
        <v/>
      </c>
    </row>
    <row r="8">
      <c r="B8" s="33" t="inlineStr">
        <is>
          <t>Recommended</t>
        </is>
      </c>
      <c r="C8" s="34">
        <f>03_Decision_Packages!H42</f>
        <v/>
      </c>
      <c r="E8" s="18" t="inlineStr">
        <is>
          <t>Should-Have</t>
        </is>
      </c>
      <c r="F8" s="22">
        <f>03_Decision_Packages!D47</f>
        <v/>
      </c>
      <c r="G8" s="23">
        <f>IF($C$8=0,0,F8/$C$8)</f>
        <v/>
      </c>
    </row>
    <row r="9">
      <c r="B9" s="33" t="inlineStr">
        <is>
          <t>CFO target</t>
        </is>
      </c>
      <c r="C9" s="34">
        <f>01_Assumptions!C8</f>
        <v/>
      </c>
      <c r="E9" s="18" t="inlineStr">
        <is>
          <t>Nice-to-Have</t>
        </is>
      </c>
      <c r="F9" s="22">
        <f>03_Decision_Packages!D48</f>
        <v/>
      </c>
      <c r="G9" s="23">
        <f>IF($C$8=0,0,F9/$C$8)</f>
        <v/>
      </c>
    </row>
    <row r="10">
      <c r="B10" s="33" t="inlineStr">
        <is>
          <t>Gap vs target</t>
        </is>
      </c>
      <c r="C10" s="34">
        <f>04_Savings_Bridge!C18</f>
        <v/>
      </c>
    </row>
    <row r="11">
      <c r="B11" s="33" t="inlineStr">
        <is>
          <t>ZBB savings vs ask</t>
        </is>
      </c>
      <c r="C11" s="34">
        <f>03_Decision_Packages!C50</f>
        <v/>
      </c>
    </row>
    <row r="13">
      <c r="B13" s="8" t="inlineStr">
        <is>
          <t>Ask vs target summary</t>
        </is>
      </c>
      <c r="C13" s="9" t="n"/>
      <c r="D13" s="9" t="n"/>
    </row>
    <row r="14">
      <c r="B14" s="15" t="inlineStr">
        <is>
          <t>Metric</t>
        </is>
      </c>
      <c r="C14" s="15" t="inlineStr">
        <is>
          <t>Amount</t>
        </is>
      </c>
      <c r="D14" s="15" t="inlineStr">
        <is>
          <t>% of ask</t>
        </is>
      </c>
    </row>
    <row r="15">
      <c r="B15" s="18" t="inlineStr">
        <is>
          <t>Ask</t>
        </is>
      </c>
      <c r="C15" s="22">
        <f>02_Cost_Centers!F20</f>
        <v/>
      </c>
      <c r="D15" s="23" t="n">
        <v>1</v>
      </c>
    </row>
    <row r="16">
      <c r="B16" s="18" t="inlineStr">
        <is>
          <t>Funded / recommended</t>
        </is>
      </c>
      <c r="C16" s="20">
        <f>03_Decision_Packages!H42</f>
        <v/>
      </c>
      <c r="D16" s="23">
        <f>C16/C15</f>
        <v/>
      </c>
    </row>
    <row r="17">
      <c r="B17" s="18" t="inlineStr">
        <is>
          <t>Deferred / cut</t>
        </is>
      </c>
      <c r="C17" s="22">
        <f>03_Decision_Packages!C50</f>
        <v/>
      </c>
      <c r="D17" s="23">
        <f>C17/C15</f>
        <v/>
      </c>
    </row>
    <row r="18">
      <c r="B18" s="18" t="inlineStr">
        <is>
          <t>Target</t>
        </is>
      </c>
      <c r="C18" s="22">
        <f>01_Assumptions!C8</f>
        <v/>
      </c>
      <c r="D18" s="23">
        <f>C18/C15</f>
        <v/>
      </c>
    </row>
    <row r="19">
      <c r="B19" s="18" t="inlineStr">
        <is>
          <t>Over/(under) target</t>
        </is>
      </c>
      <c r="C19" s="20">
        <f>04_Savings_Bridge!C18</f>
        <v/>
      </c>
      <c r="D19" s="23">
        <f>C19/C15</f>
        <v/>
      </c>
    </row>
    <row r="21">
      <c r="B21" s="15" t="inlineStr">
        <is>
          <t>Item</t>
        </is>
      </c>
      <c r="C21" s="15" t="inlineStr">
        <is>
          <t>$000s</t>
        </is>
      </c>
    </row>
    <row r="22">
      <c r="B22" s="18" t="inlineStr">
        <is>
          <t>Prior</t>
        </is>
      </c>
      <c r="C22" s="22">
        <f>02_Cost_Centers!E20</f>
        <v/>
      </c>
    </row>
    <row r="23">
      <c r="B23" s="18" t="inlineStr">
        <is>
          <t>Ask</t>
        </is>
      </c>
      <c r="C23" s="22">
        <f>02_Cost_Centers!F20</f>
        <v/>
      </c>
    </row>
    <row r="24">
      <c r="B24" s="18" t="inlineStr">
        <is>
          <t>Recommended</t>
        </is>
      </c>
      <c r="C24" s="20">
        <f>03_Decision_Packages!H42</f>
        <v/>
      </c>
    </row>
    <row r="25">
      <c r="B25" s="18" t="inlineStr">
        <is>
          <t>Target</t>
        </is>
      </c>
      <c r="C25" s="20">
        <f>01_Assumptions!C8</f>
        <v/>
      </c>
    </row>
    <row r="40">
      <c r="B40" s="3" t="inlineStr">
        <is>
          <t>Screen-share test: flip a Should-Have Fund from Y→N on 03_Decision_Packages — Recommended and gap-to-target update; bridge cuts deepen.</t>
        </is>
      </c>
    </row>
  </sheetData>
  <pageMargins left="0.75" right="0.75" top="1" bottom="1" header="0.5" footer="0.5"/>
  <pageSetup orientation="landscape" paperSize="3" fitToHeight="1" fitToWidth="1"/>
  <headerFooter>
    <oddHeader/>
    <oddFooter>&amp;LNorthline Consumer Products  |  fictional sample  |  $000s&amp;RPage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7F7F7F"/>
    <outlinePr summaryBelow="1" summaryRight="1"/>
    <pageSetUpPr fitToPage="1"/>
  </sheetPr>
  <dimension ref="B2:E2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28" customWidth="1" min="2" max="2"/>
    <col width="18" customWidth="1" min="3" max="3"/>
    <col width="58" customWidth="1" min="4" max="4"/>
    <col width="16" customWidth="1" min="5" max="5"/>
  </cols>
  <sheetData>
    <row r="2">
      <c r="B2" s="1" t="inlineStr">
        <is>
          <t>Data dictionary</t>
        </is>
      </c>
    </row>
    <row r="3">
      <c r="B3" s="3" t="inlineStr">
        <is>
          <t>Field definitions for inheriting analysts. Amounts in $000s unless noted.</t>
        </is>
      </c>
    </row>
    <row r="5">
      <c r="B5" s="15" t="inlineStr">
        <is>
          <t>Field</t>
        </is>
      </c>
      <c r="C5" s="15" t="inlineStr">
        <is>
          <t>Tab</t>
        </is>
      </c>
      <c r="D5" s="15" t="inlineStr">
        <is>
          <t>Definition</t>
        </is>
      </c>
      <c r="E5" s="15" t="inlineStr">
        <is>
          <t>Type</t>
        </is>
      </c>
    </row>
    <row r="6">
      <c r="B6" s="21" t="inlineStr">
        <is>
          <t>OpEx target</t>
        </is>
      </c>
      <c r="C6" s="17" t="inlineStr">
        <is>
          <t>01_Assumptions</t>
        </is>
      </c>
      <c r="D6" s="29" t="inlineStr">
        <is>
          <t>CFO FY26 OpEx ceiling ($000s).</t>
        </is>
      </c>
      <c r="E6" s="35" t="inlineStr">
        <is>
          <t>Input</t>
        </is>
      </c>
    </row>
    <row r="7">
      <c r="B7" s="21" t="inlineStr">
        <is>
          <t>Must-Have fund floor</t>
        </is>
      </c>
      <c r="C7" s="17" t="inlineStr">
        <is>
          <t>01_Assumptions</t>
        </is>
      </c>
      <c r="D7" s="29" t="inlineStr">
        <is>
          <t>Policy % of Must-Have dollars expected to be funded.</t>
        </is>
      </c>
      <c r="E7" s="35" t="inlineStr">
        <is>
          <t>Input</t>
        </is>
      </c>
    </row>
    <row r="8">
      <c r="B8" s="21" t="inlineStr">
        <is>
          <t>Tier</t>
        </is>
      </c>
      <c r="C8" s="17" t="inlineStr">
        <is>
          <t>01_Assumptions / 03_Decision_Packages</t>
        </is>
      </c>
      <c r="D8" s="29" t="inlineStr">
        <is>
          <t>Must-Have / Should-Have / Nice-to-Have ranking.</t>
        </is>
      </c>
      <c r="E8" s="35" t="inlineStr">
        <is>
          <t>Input</t>
        </is>
      </c>
    </row>
    <row r="9">
      <c r="B9" s="21" t="inlineStr">
        <is>
          <t>Prior FY</t>
        </is>
      </c>
      <c r="C9" s="17" t="inlineStr">
        <is>
          <t>02_Cost_Centers</t>
        </is>
      </c>
      <c r="D9" s="29" t="inlineStr">
        <is>
          <t>Prior-year OpEx actual by cost center ($000s).</t>
        </is>
      </c>
      <c r="E9" s="35" t="inlineStr">
        <is>
          <t>Input</t>
        </is>
      </c>
    </row>
    <row r="10">
      <c r="B10" s="21" t="inlineStr">
        <is>
          <t>FY26 ask</t>
        </is>
      </c>
      <c r="C10" s="17" t="inlineStr">
        <is>
          <t>02_Cost_Centers</t>
        </is>
      </c>
      <c r="D10" s="29" t="inlineStr">
        <is>
          <t>Cost-center requested budget before ZBB decisions.</t>
        </is>
      </c>
      <c r="E10" s="35" t="inlineStr">
        <is>
          <t>Input</t>
        </is>
      </c>
    </row>
    <row r="11">
      <c r="B11" s="21" t="inlineStr">
        <is>
          <t>FTE prior / ask</t>
        </is>
      </c>
      <c r="C11" s="17" t="inlineStr">
        <is>
          <t>02_Cost_Centers</t>
        </is>
      </c>
      <c r="D11" s="29" t="inlineStr">
        <is>
          <t>Headcount drivers supporting the ask.</t>
        </is>
      </c>
      <c r="E11" s="35" t="inlineStr">
        <is>
          <t>Input</t>
        </is>
      </c>
    </row>
    <row r="12">
      <c r="B12" s="21" t="inlineStr">
        <is>
          <t>Package ask $</t>
        </is>
      </c>
      <c r="C12" s="17" t="inlineStr">
        <is>
          <t>03_Decision_Packages</t>
        </is>
      </c>
      <c r="D12" s="29" t="inlineStr">
        <is>
          <t>Dollar size of each decision package.</t>
        </is>
      </c>
      <c r="E12" s="35" t="inlineStr">
        <is>
          <t>Input</t>
        </is>
      </c>
    </row>
    <row r="13">
      <c r="B13" s="21" t="inlineStr">
        <is>
          <t>Fund (Y/N)</t>
        </is>
      </c>
      <c r="C13" s="17" t="inlineStr">
        <is>
          <t>03_Decision_Packages</t>
        </is>
      </c>
      <c r="D13" s="29" t="inlineStr">
        <is>
          <t>ZBB decision: include package in recommended budget.</t>
        </is>
      </c>
      <c r="E13" s="35" t="inlineStr">
        <is>
          <t>Input</t>
        </is>
      </c>
    </row>
    <row r="14">
      <c r="B14" s="36" t="inlineStr">
        <is>
          <t>Funded $</t>
        </is>
      </c>
      <c r="C14" s="17" t="inlineStr">
        <is>
          <t>03_Decision_Packages</t>
        </is>
      </c>
      <c r="D14" s="29" t="inlineStr">
        <is>
          <t>Ask $ if Fund=Y, else 0.</t>
        </is>
      </c>
      <c r="E14" s="36" t="inlineStr">
        <is>
          <t>Formula</t>
        </is>
      </c>
    </row>
    <row r="15">
      <c r="B15" s="36" t="inlineStr">
        <is>
          <t>Tier rollup</t>
        </is>
      </c>
      <c r="C15" s="17" t="inlineStr">
        <is>
          <t>03_Decision_Packages</t>
        </is>
      </c>
      <c r="D15" s="29" t="inlineStr">
        <is>
          <t>Ask / funded / deferred by Must / Should / Nice.</t>
        </is>
      </c>
      <c r="E15" s="36" t="inlineStr">
        <is>
          <t>Formula</t>
        </is>
      </c>
    </row>
    <row r="16">
      <c r="B16" s="36" t="inlineStr">
        <is>
          <t>Gross ask uplift</t>
        </is>
      </c>
      <c r="C16" s="17" t="inlineStr">
        <is>
          <t>04_Savings_Bridge</t>
        </is>
      </c>
      <c r="D16" s="29" t="inlineStr">
        <is>
          <t>Ask − Prior (pre-ZBB growth).</t>
        </is>
      </c>
      <c r="E16" s="36" t="inlineStr">
        <is>
          <t>Formula</t>
        </is>
      </c>
    </row>
    <row r="17">
      <c r="B17" s="36" t="inlineStr">
        <is>
          <t>ZBB cuts by tier</t>
        </is>
      </c>
      <c r="C17" s="17" t="inlineStr">
        <is>
          <t>04_Savings_Bridge</t>
        </is>
      </c>
      <c r="D17" s="29" t="inlineStr">
        <is>
          <t>Deferred package $ by tier (negative steps).</t>
        </is>
      </c>
      <c r="E17" s="36" t="inlineStr">
        <is>
          <t>Formula</t>
        </is>
      </c>
    </row>
    <row r="18">
      <c r="B18" s="36" t="inlineStr">
        <is>
          <t>Recommended</t>
        </is>
      </c>
      <c r="C18" s="17" t="inlineStr">
        <is>
          <t>04_Savings_Bridge</t>
        </is>
      </c>
      <c r="D18" s="29" t="inlineStr">
        <is>
          <t>Sum of funded packages.</t>
        </is>
      </c>
      <c r="E18" s="36" t="inlineStr">
        <is>
          <t>Formula</t>
        </is>
      </c>
    </row>
    <row r="19">
      <c r="B19" s="36" t="inlineStr">
        <is>
          <t>Gap vs target</t>
        </is>
      </c>
      <c r="C19" s="17" t="inlineStr">
        <is>
          <t>04_Savings_Bridge / 05_Dashboard</t>
        </is>
      </c>
      <c r="D19" s="29" t="inlineStr">
        <is>
          <t>Recommended − CFO target (positive = over).</t>
        </is>
      </c>
      <c r="E19" s="36" t="inlineStr">
        <is>
          <t>Formula</t>
        </is>
      </c>
    </row>
    <row r="20">
      <c r="B20" s="36" t="inlineStr">
        <is>
          <t>ZBB savings vs ask</t>
        </is>
      </c>
      <c r="C20" s="17" t="inlineStr">
        <is>
          <t>04_Savings_Bridge</t>
        </is>
      </c>
      <c r="D20" s="29" t="inlineStr">
        <is>
          <t>Ask − Recommended.</t>
        </is>
      </c>
      <c r="E20" s="36" t="inlineStr">
        <is>
          <t>Formula</t>
        </is>
      </c>
    </row>
    <row r="23">
      <c r="B23" s="3" t="inlineStr">
        <is>
          <t>Fictional company and sample data for portfolio demonstration only. No VBA.</t>
        </is>
      </c>
    </row>
  </sheetData>
  <pageMargins left="0.75" right="0.75" top="1" bottom="1" header="0.5" footer="0.5"/>
  <pageSetup orientation="landscape" paperSize="3" fitToHeight="0" fitToWidth="1"/>
  <headerFooter>
    <oddHeader/>
    <oddFooter>&amp;LNorthline Consumer Products  |  fictional sample  |  $000s&amp;RPage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Sai Siri Bandaru</dc:creator>
  <dc:title>Northline OpEx ZBB Pack</dc:title>
  <dcterms:created xsi:type="dcterms:W3CDTF">2026-09-11T19:01:06Z</dcterms:created>
  <dcterms:modified xsi:type="dcterms:W3CDTF">2026-09-11T19:01:06Z</dcterms:modified>
</cp:coreProperties>
</file>